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ealthsharedservice.sharepoint.com/sites/GOVEnvironmentalHazards91772/Shared Documents/General/Water Quality/Public Health TASKFORCE (IWC)/Subgroups/Microbial/3. 27 May - Bacterial pathogens and indicator organisms/"/>
    </mc:Choice>
  </mc:AlternateContent>
  <xr:revisionPtr revIDLastSave="0" documentId="8_{03684909-623B-4E97-BC87-8B0677A8708E}" xr6:coauthVersionLast="47" xr6:coauthVersionMax="47" xr10:uidLastSave="{00000000-0000-0000-0000-000000000000}"/>
  <bookViews>
    <workbookView xWindow="-105" yWindow="-16320" windowWidth="29040" windowHeight="15720" xr2:uid="{00000000-000D-0000-FFFF-FFFF00000000}"/>
  </bookViews>
  <sheets>
    <sheet name="Dashboard" sheetId="1" r:id="rId1"/>
    <sheet name="Pathogen Ranking" sheetId="2" r:id="rId2"/>
    <sheet name="Evidence Basis" sheetId="4" r:id="rId3"/>
    <sheet name="Reference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2" l="1"/>
  <c r="K32" i="2"/>
  <c r="R31" i="2"/>
  <c r="K31" i="2"/>
  <c r="R30" i="2"/>
  <c r="K30" i="2"/>
  <c r="R29" i="2"/>
  <c r="K29" i="2"/>
  <c r="R28" i="2"/>
  <c r="K28" i="2"/>
  <c r="R27" i="2"/>
  <c r="K27" i="2"/>
  <c r="R26" i="2"/>
  <c r="K26" i="2"/>
  <c r="R25" i="2"/>
  <c r="K25" i="2"/>
  <c r="R24" i="2"/>
  <c r="K24" i="2"/>
  <c r="S24" i="2" s="1"/>
  <c r="R23" i="2"/>
  <c r="K23" i="2"/>
  <c r="R22" i="2"/>
  <c r="K22" i="2"/>
  <c r="R21" i="2"/>
  <c r="K21" i="2"/>
  <c r="R20" i="2"/>
  <c r="K20" i="2"/>
  <c r="R19" i="2"/>
  <c r="K19" i="2"/>
  <c r="R18" i="2"/>
  <c r="K18" i="2"/>
  <c r="R17" i="2"/>
  <c r="K17" i="2"/>
  <c r="R16" i="2"/>
  <c r="K16" i="2"/>
  <c r="R15" i="2"/>
  <c r="K15" i="2"/>
  <c r="R14" i="2"/>
  <c r="K14" i="2"/>
  <c r="R13" i="2"/>
  <c r="K13" i="2"/>
  <c r="R12" i="2"/>
  <c r="K12" i="2"/>
  <c r="R11" i="2"/>
  <c r="K11" i="2"/>
  <c r="R10" i="2"/>
  <c r="K10" i="2"/>
  <c r="R9" i="2"/>
  <c r="K9" i="2"/>
  <c r="R8" i="2"/>
  <c r="K8" i="2"/>
  <c r="R7" i="2"/>
  <c r="K7" i="2"/>
  <c r="R6" i="2"/>
  <c r="K6" i="2"/>
  <c r="R5" i="2"/>
  <c r="K5" i="2"/>
  <c r="R4" i="2"/>
  <c r="K4" i="2"/>
  <c r="R3" i="2"/>
  <c r="K3" i="2"/>
  <c r="R2" i="2"/>
  <c r="K2" i="2"/>
  <c r="C14" i="1"/>
  <c r="S14" i="2" l="1"/>
  <c r="S8" i="2"/>
  <c r="S12" i="2"/>
  <c r="S4" i="2"/>
  <c r="S18" i="2"/>
  <c r="S29" i="2"/>
  <c r="S19" i="2"/>
  <c r="S6" i="2"/>
  <c r="S28" i="2"/>
  <c r="S10" i="2"/>
  <c r="S21" i="2"/>
  <c r="S32" i="2"/>
  <c r="S23" i="2"/>
  <c r="S22" i="2"/>
  <c r="S5" i="2"/>
  <c r="S16" i="2"/>
  <c r="S27" i="2"/>
  <c r="S11" i="2"/>
  <c r="S15" i="2"/>
  <c r="S30" i="2"/>
  <c r="S26" i="2"/>
  <c r="S13" i="2"/>
  <c r="S3" i="2"/>
  <c r="S25" i="2"/>
  <c r="S17" i="2"/>
  <c r="S2" i="2"/>
  <c r="S9" i="2"/>
  <c r="S20" i="2"/>
  <c r="S31" i="2"/>
  <c r="S7" i="2"/>
  <c r="A3" i="2" l="1"/>
  <c r="A31" i="2"/>
  <c r="A4" i="2"/>
  <c r="A16" i="2"/>
  <c r="A11" i="2"/>
  <c r="A24" i="2"/>
  <c r="A27" i="2"/>
  <c r="A18" i="2"/>
  <c r="A5" i="2"/>
  <c r="A10" i="2"/>
  <c r="A13" i="2"/>
  <c r="A29" i="2"/>
  <c r="A8" i="2"/>
  <c r="A12" i="2"/>
  <c r="A22" i="2"/>
  <c r="A15" i="2"/>
  <c r="A2" i="2"/>
  <c r="A7" i="2"/>
  <c r="A25" i="2"/>
  <c r="A28" i="2"/>
  <c r="A19" i="2"/>
  <c r="A6" i="2"/>
  <c r="A14" i="2"/>
  <c r="A32" i="2"/>
  <c r="A9" i="2"/>
  <c r="A30" i="2"/>
  <c r="A26" i="2"/>
  <c r="A17" i="2"/>
  <c r="A21" i="2"/>
  <c r="A20" i="2"/>
  <c r="A23" i="2"/>
  <c r="K11" i="1" l="1"/>
  <c r="M11" i="1"/>
  <c r="K10" i="1"/>
  <c r="L3" i="1"/>
  <c r="M4" i="1"/>
  <c r="L11" i="1"/>
  <c r="M5" i="1"/>
  <c r="K3" i="1"/>
  <c r="M3" i="1"/>
  <c r="L10" i="1"/>
  <c r="K12" i="1"/>
  <c r="K4" i="1"/>
  <c r="L12" i="1"/>
  <c r="M6" i="1"/>
  <c r="M7" i="1"/>
  <c r="K5" i="1"/>
  <c r="L8" i="1"/>
  <c r="M12" i="1"/>
  <c r="K9" i="1"/>
  <c r="L9" i="1"/>
  <c r="M9" i="1"/>
  <c r="L6" i="1"/>
  <c r="K7" i="1"/>
  <c r="L4" i="1"/>
  <c r="L7" i="1"/>
  <c r="K8" i="1"/>
  <c r="L5" i="1"/>
  <c r="M8" i="1"/>
  <c r="K6" i="1"/>
  <c r="M10" i="1"/>
</calcChain>
</file>

<file path=xl/sharedStrings.xml><?xml version="1.0" encoding="utf-8"?>
<sst xmlns="http://schemas.openxmlformats.org/spreadsheetml/2006/main" count="308" uniqueCount="217">
  <si>
    <t>Purpose</t>
  </si>
  <si>
    <t>Site context levers</t>
  </si>
  <si>
    <t>Current Top 10 ranked pathogens / hazards</t>
  </si>
  <si>
    <t>Human sewage / treated effluent / CSO influence</t>
  </si>
  <si>
    <t>0 = absent, 5 = dominant source/pathway</t>
  </si>
  <si>
    <t>Rank</t>
  </si>
  <si>
    <t>Pathogen / hazard</t>
  </si>
  <si>
    <t>Final score</t>
  </si>
  <si>
    <t>Policy status</t>
  </si>
  <si>
    <t>Agriculture / livestock runoff influence</t>
  </si>
  <si>
    <t>Urban runoff / stormwater influence</t>
  </si>
  <si>
    <t>Riverine / event variability</t>
  </si>
  <si>
    <t>0 = stable, 5 = highly event-driven</t>
  </si>
  <si>
    <t>Warm / brackish / aerosol / bloom conditions</t>
  </si>
  <si>
    <t>0 = not relevant, 5 = strongly relevant</t>
  </si>
  <si>
    <t>Measured E. coli / enterococci burden</t>
  </si>
  <si>
    <t>0 = low/unknown, 5 = high or repeated exceedance</t>
  </si>
  <si>
    <t>National hazard weights</t>
  </si>
  <si>
    <t>Site influence on final ranking (%)</t>
  </si>
  <si>
    <t>Exposure efficiency / infectious dose</t>
  </si>
  <si>
    <t>How easily a hazard can infect once exposure occurs.</t>
  </si>
  <si>
    <t>Health consequence / severity</t>
  </si>
  <si>
    <t>How serious the outcome can be.</t>
  </si>
  <si>
    <t>Source pressure / shedding</t>
  </si>
  <si>
    <t>How much of the hazard is likely to reach the environment.</t>
  </si>
  <si>
    <t>Persistence / transport</t>
  </si>
  <si>
    <t>How well the hazard survives or moves through water/sediment.</t>
  </si>
  <si>
    <t>Bathing evidence / confidence</t>
  </si>
  <si>
    <t>How strongly the hazard is supported as a bathing-water concern.</t>
  </si>
  <si>
    <t>How to read the dashboard</t>
  </si>
  <si>
    <t>Total weight (normalised automatically)</t>
  </si>
  <si>
    <t>Changing the yellow cells changes the ranking. A high sewage setting lifts sewage-linked hazards. A high agriculture setting lifts livestock/runoff hazards. A high E. coli / enterococci burden raises the importance of bacterial-load-sensitive rows.</t>
  </si>
  <si>
    <t>Model category</t>
  </si>
  <si>
    <t>National policy status</t>
  </si>
  <si>
    <t>Model role</t>
  </si>
  <si>
    <t>Exposure efficiency /
infectious dose</t>
  </si>
  <si>
    <t>Health consequence /
severity</t>
  </si>
  <si>
    <t>Source pressure /
shedding</t>
  </si>
  <si>
    <t>Persistence /
transport</t>
  </si>
  <si>
    <t>Bathing evidence /
confidence</t>
  </si>
  <si>
    <t>National score</t>
  </si>
  <si>
    <t>Human sewage fit</t>
  </si>
  <si>
    <t>Agriculture /
livestock fit</t>
  </si>
  <si>
    <t>Urban runoff /
stormwater fit</t>
  </si>
  <si>
    <t>Riverine /
event fit</t>
  </si>
  <si>
    <t>Warm / climate /
aerosol / bloom fit</t>
  </si>
  <si>
    <t>Sentinel-load
relevance</t>
  </si>
  <si>
    <t>Site relevance score</t>
  </si>
  <si>
    <t>Short rationale</t>
  </si>
  <si>
    <t>Norovirus</t>
  </si>
  <si>
    <t>Core causal bathing-water pathogens</t>
  </si>
  <si>
    <t>Core</t>
  </si>
  <si>
    <t>Core causal pathogen priority</t>
  </si>
  <si>
    <t>Dominant sewage-associated enteric viral priority with high shedding, low dose, high transmission and strong bathing relevance.</t>
  </si>
  <si>
    <t>Cryptosporidium spp.</t>
  </si>
  <si>
    <t>Very persistent protozoan with low infectious dose and strong relevance to agricultural and wastewater-influenced bathing waters.</t>
  </si>
  <si>
    <t>STEC</t>
  </si>
  <si>
    <t>Low-dose, high-consequence pathogenic E. coli group; priority is driven by severity and livestock/faecal runoff, not high population prevalence.</t>
  </si>
  <si>
    <t>Shigella spp.</t>
  </si>
  <si>
    <t>Human sewage-linked low-dose pathogen with strong person-to-person spread and clear public-health relevance during faecal contamination events.</t>
  </si>
  <si>
    <t>Campylobacter spp.</t>
  </si>
  <si>
    <t>Serious concern in EA review; important bathing-water hazard especially where livestock, wildlife and runoff influence freshwater sites.</t>
  </si>
  <si>
    <t>Giardia duodenalis</t>
  </si>
  <si>
    <t>Persistent protozoan with sewage, livestock and wildlife relevance; often underappreciated in bathing-water risk discussions.</t>
  </si>
  <si>
    <t>Salmonella enterica (non-typhoidal)</t>
  </si>
  <si>
    <t>Important but not as water-efficient as norovirus, Cryptosporidium or STEC; source pressure may be human, livestock, wildlife or food/travel linked.</t>
  </si>
  <si>
    <t>Adenovirus 40/41</t>
  </si>
  <si>
    <t>Conditional</t>
  </si>
  <si>
    <t>Core causal / conditional viral pathogen</t>
  </si>
  <si>
    <t>Highly persistent sewage-associated virus; useful surveillance value but weaker direct causal ranking than norovirus.</t>
  </si>
  <si>
    <t>Hepatitis A virus</t>
  </si>
  <si>
    <t>Low prevalence in the UK but severe and low-dose; relevant during sewage contamination and travel/imported case clusters.</t>
  </si>
  <si>
    <t>Rotavirus</t>
  </si>
  <si>
    <t>Important in children but less policy-dominant in UK bathing waters than norovirus.</t>
  </si>
  <si>
    <t>Enteroviruses</t>
  </si>
  <si>
    <t>Useful surveillance target; direct bathing disease attribution is less consistent than for top-tier pathogens.</t>
  </si>
  <si>
    <t>Sapovirus</t>
  </si>
  <si>
    <t>Similar route logic to norovirus but weaker evidence and generally lower priority.</t>
  </si>
  <si>
    <t>Other diarrhoeagenic E. coli pathotypes (EPEC/ETEC/EAEC/EIEC)</t>
  </si>
  <si>
    <t>Conditional diarrhoeagenic E. coli / outbreak-investigation row</t>
  </si>
  <si>
    <t>Provides coverage for EPEC, ETEC, EAEC and EIEC, especially where outbreak intelligence suggests diarrhoeagenic E. coli beyond STEC.</t>
  </si>
  <si>
    <t>Salmonella Typhi / Paratyphi</t>
  </si>
  <si>
    <t>Watch</t>
  </si>
  <si>
    <t>Typhoidal Salmonella / imported sewage-associated watch item</t>
  </si>
  <si>
    <t>Severe human-restricted enteric pathogen; low routine UK bathing-water source pressure but relevant to sewage contamination plus imported/travel-associated cases.</t>
  </si>
  <si>
    <t>Leptospira spp.</t>
  </si>
  <si>
    <t>Conditional non-faecal recreational-water hazards</t>
  </si>
  <si>
    <t>Conditional non-faecal / zoonotic recreational-water hazard</t>
  </si>
  <si>
    <t>Classic freshwater recreational exposure hazard, particularly where rodents/livestock/wildlife contamination is plausible.</t>
  </si>
  <si>
    <t>Vibrio spp. (non-cholera)</t>
  </si>
  <si>
    <t>Conditional non-faecal recreational-water hazard</t>
  </si>
  <si>
    <t>Warm coastal/brackish-water hazard; priority rises under climate-emergence or wound-exposure scenarios.</t>
  </si>
  <si>
    <t>Pseudomonas aeruginosa</t>
  </si>
  <si>
    <t>Opportunistic organism with ear/skin relevance; not a headline national faecal pathogen priority.</t>
  </si>
  <si>
    <t>Legionella pneumophila</t>
  </si>
  <si>
    <t>Conditional non-faecal / aerosolised-water hazard</t>
  </si>
  <si>
    <t>Most relevant to artificial water features, showers, spas, warm freshwater, or aerosol-generating infrastructure rather than ordinary open-water ingestion.</t>
  </si>
  <si>
    <t>Avian schistosomes (swimmer's itch)</t>
  </si>
  <si>
    <t>Usually low severity but relevant to freshwater sites with bird/snail ecology and public concern.</t>
  </si>
  <si>
    <t>Aeromonas spp.</t>
  </si>
  <si>
    <t>Watch / conditional non-core pathogen</t>
  </si>
  <si>
    <t>Contextual wound/skin hazard in freshwater or warm-water settings.</t>
  </si>
  <si>
    <t>Naegleria fowleri</t>
  </si>
  <si>
    <t>Conditional non-faecal / severe warm-freshwater hazard</t>
  </si>
  <si>
    <t>Severe warm freshwater hazard; priority rises only under specific warm-water immersion/nasal exposure scenarios.</t>
  </si>
  <si>
    <t>Hepatitis E virus</t>
  </si>
  <si>
    <t>Vulnerable-population / horizon watchlist</t>
  </si>
  <si>
    <t>Watchlist viral hazard</t>
  </si>
  <si>
    <t>Potential vulnerable-population concern, but bathing-water pathway is not a primary policy route.</t>
  </si>
  <si>
    <t>Staphylococcus aureus / MRSA</t>
  </si>
  <si>
    <t>AMR relevance is high for MRSA, but routine bathing-water pathogen priority is lower than core enteric hazards.</t>
  </si>
  <si>
    <t>Aliarcobacter butzleri</t>
  </si>
  <si>
    <t>Plausible emerging enteric water-associated organism; kept visible but not core.</t>
  </si>
  <si>
    <t>Trichophyton spp.</t>
  </si>
  <si>
    <t>Wet-surface/skin-scale transmission is plausible, but routine regulatory monitoring would be disproportionate.</t>
  </si>
  <si>
    <t>Toxoplasma gondii</t>
  </si>
  <si>
    <t>Vulnerable-population and faecal-runoff watchlist item</t>
  </si>
  <si>
    <t>Important for pregnancy and immunocompromised groups; bathing pathway is less direct than for norovirus or Cryptosporidium.</t>
  </si>
  <si>
    <t>Scedosporium apiospermum</t>
  </si>
  <si>
    <t>Rare severe / opportunistic water-associated hazards</t>
  </si>
  <si>
    <t>Rare severe mould / near-drowning or trauma watchlist</t>
  </si>
  <si>
    <t>High-consequence opportunistic mould; should be visible for incident protocols, not ranked alongside norovirus or STEC.</t>
  </si>
  <si>
    <t>Lomentospora prolificans</t>
  </si>
  <si>
    <t>Rare severe mould / immunocompromised or trauma watchlist</t>
  </si>
  <si>
    <t>Rare but severe environmental mould; kept visible for specialist incident planning.</t>
  </si>
  <si>
    <t>C. difficile</t>
  </si>
  <si>
    <t>Not in core bathing-water pathogen ranking</t>
  </si>
  <si>
    <t>Not routine target</t>
  </si>
  <si>
    <t>Avoid treating as high priority solely because spores persist; use only for specialist investigation.</t>
  </si>
  <si>
    <t>Aspergillus spp.</t>
  </si>
  <si>
    <t>Better handled as environmental fungal awareness than routine bathing-water monitoring.</t>
  </si>
  <si>
    <t>Candida spp. / C. auris</t>
  </si>
  <si>
    <t>Not a routine bathing-water quality target.</t>
  </si>
  <si>
    <t>Important rows handled outside the main ranking: generic E. coli and intestinal enterococci are regulatory sentinel / trigger microbes, and cyanobacteria / cyanotoxins form a separate hazard module.</t>
  </si>
  <si>
    <t>Element</t>
  </si>
  <si>
    <t>Why it exists in the model</t>
  </si>
  <si>
    <t>A very low infectious dose can make a hazard important even when it is not the most common organism.</t>
  </si>
  <si>
    <t>Some hazards deserve more attention because their consequences are more severe.</t>
  </si>
  <si>
    <t>Simple summary of how much of the hazard is likely to reach the environment.</t>
  </si>
  <si>
    <t>This keeps the simplified model short while preserving the idea of both shedding and commonness.</t>
  </si>
  <si>
    <t>How well the hazard survives or moves through water or sediment.</t>
  </si>
  <si>
    <t>Persistent hazards remain relevant for longer and can be harder to control.</t>
  </si>
  <si>
    <t>This anchors the simplified model to the evidence base.</t>
  </si>
  <si>
    <t>How strongly the hazard is linked to sewage or wastewater pathways.</t>
  </si>
  <si>
    <t>A high sewage setting should lift sewage-linked hazards.</t>
  </si>
  <si>
    <t>Agriculture / livestock fit</t>
  </si>
  <si>
    <t>How strongly the hazard is linked to livestock, slurry or agricultural runoff.</t>
  </si>
  <si>
    <t>A high agriculture setting should lift livestock/runoff hazards.</t>
  </si>
  <si>
    <t>Urban runoff / stormwater fit</t>
  </si>
  <si>
    <t>How strongly the hazard is linked to urban drainage, stormwater or misconnection pathways.</t>
  </si>
  <si>
    <t>Urban runoff is treated as a pathway / pressure score, not proof of the original biological reservoir.</t>
  </si>
  <si>
    <t>Riverine / event fit</t>
  </si>
  <si>
    <t>How much the hazard is linked to inland/freshwater sites and short-term event dynamics.</t>
  </si>
  <si>
    <t>This keeps one simple river/event lever visible.</t>
  </si>
  <si>
    <t>Warm / climate / aerosol / bloom fit</t>
  </si>
  <si>
    <t>How much the hazard becomes more relevant in warm, stagnant, aerosolised, brackish or bloom-prone conditions.</t>
  </si>
  <si>
    <t>This keeps climate- and condition-sensitive hazards visible without overwhelming the front end.</t>
  </si>
  <si>
    <t>Sentinel-load relevance</t>
  </si>
  <si>
    <t>How strongly the hazard responds to high measured E. coli / enterococci burden.</t>
  </si>
  <si>
    <t>This lets the simplified model respond to high bacterial loads without claiming that the indicator organisms are the only pathogens present.</t>
  </si>
  <si>
    <t>What kind of row it is in the risk framework.</t>
  </si>
  <si>
    <t>This stops the reader confusing a core pathogen, a sentinel organism, and a separate hazard module.</t>
  </si>
  <si>
    <t>How national policy should treat the row: core, conditional, watch, or separate module.</t>
  </si>
  <si>
    <t>This shows whether a row is central to national attention or mainly situational.</t>
  </si>
  <si>
    <t>What job the row performs inside the workbook.</t>
  </si>
  <si>
    <t>This shows whether the row is being used as a ranked hazard, a warning trigger, or a separate module.</t>
  </si>
  <si>
    <t>The score produced by the five visible hazard criteria and the editable national weights.</t>
  </si>
  <si>
    <t>This is the baseline hazard score before any site setting is applied.</t>
  </si>
  <si>
    <t>How relevant the hazard is at the current site, given the user-selected site levers.</t>
  </si>
  <si>
    <t>This lets one workbook behave like a sewage site, agricultural site, river site, or warm/brackish site.</t>
  </si>
  <si>
    <t>The overall score used for ranking.</t>
  </si>
  <si>
    <t>This is the number a novice user should watch when testing different site settings.</t>
  </si>
  <si>
    <t>Sentinel / trigger microbes</t>
  </si>
  <si>
    <t>Rows such as generic E. coli and intestinal enterococci that matter hugely for warning and compliance.</t>
  </si>
  <si>
    <t>They are not downgraded; they are separated because they do a different regulatory job.</t>
  </si>
  <si>
    <t>https://assets.publishing.service.gov.uk/media/67090ba2e84ae1fd8592f203/Overview_of_potential_human_pathogens_in_the_environment_-_report.pdf</t>
  </si>
  <si>
    <t>Short name</t>
  </si>
  <si>
    <t>Reference / title</t>
  </si>
  <si>
    <t>Why it is used</t>
  </si>
  <si>
    <t>URL</t>
  </si>
  <si>
    <t>Notes</t>
  </si>
  <si>
    <t>WHO recreational-water guidance</t>
  </si>
  <si>
    <t>World Health Organization. Guidelines on Recreational Water Quality: Volume 1 - Coastal and Fresh Waters.</t>
  </si>
  <si>
    <t>Public-health and recreational-water risk framework; supports separate cyanobacteria handling.</t>
  </si>
  <si>
    <t>https://www.ncbi.nlm.nih.gov/books/NBK572625/</t>
  </si>
  <si>
    <t>Core public-health framing.</t>
  </si>
  <si>
    <t>EPA recreational-water criteria</t>
  </si>
  <si>
    <t>U.S. EPA. Recreational Water Quality Criteria.</t>
  </si>
  <si>
    <t>Supports the use of E. coli and enterococci as swimmer-illness sentinel organisms.</t>
  </si>
  <si>
    <t>https://www.epa.gov/sites/default/files/2015-10/documents/rwqc2012.pdf</t>
  </si>
  <si>
    <t>Important for sentinel logic.</t>
  </si>
  <si>
    <t>EA pathogen review</t>
  </si>
  <si>
    <t>Environment Agency. Overview of potential human pathogens in the environment - report.</t>
  </si>
  <si>
    <t>Provides the broader environmental-pathogen inventory and the logic for what does and does not belong in a bathing-water ranking.</t>
  </si>
  <si>
    <t>Testing the Waters</t>
  </si>
  <si>
    <t>Royal Academy of Engineering / NEPC. Testing the Waters: priorities for mitigating health risks from wastewater pollution.</t>
  </si>
  <si>
    <t>Supports sewage and public-health framing, and the importance of faecal-organism exposure.</t>
  </si>
  <si>
    <t>https://nepc.raeng.org.uk/media/qi2eyivp/testing-the-waters-priorities-for-mitigating-health-risks-from-wastewater-pollution.pdf</t>
  </si>
  <si>
    <t>Used to justify high faecal-load concern.</t>
  </si>
  <si>
    <t>Independent Water Commission</t>
  </si>
  <si>
    <t>Independent Water Commission final report.</t>
  </si>
  <si>
    <t>Supports amenity/public-health framing and systems thinking.</t>
  </si>
  <si>
    <t>https://www.gov.uk/government/publications/independent-water-commission-final-report</t>
  </si>
  <si>
    <t>Forecasting review</t>
  </si>
  <si>
    <t>Krupska et al. Forecasting bathing water quality in the UK: A critical review.</t>
  </si>
  <si>
    <t>Supports the importance of riverine/event dynamics and warning logic.</t>
  </si>
  <si>
    <t>https://onlinelibrary.wiley.com/doi/10.1002/wat2.1718</t>
  </si>
  <si>
    <t>Simplified here into one river/event lever.</t>
  </si>
  <si>
    <t>Faecal contamination report</t>
  </si>
  <si>
    <t>GOV.UK. Faecal contamination: challenges for the water environment.</t>
  </si>
  <si>
    <t>Supports multi-source contamination, river/coastal differences and source attribution challenges.</t>
  </si>
  <si>
    <t>https://www.gov.uk/government/publications/faecal-contamination-challenges-for-the-water-environment/faecal-contamination-challenges-for-the-water-environment</t>
  </si>
  <si>
    <t>Used for source-pathway interpretation.</t>
  </si>
  <si>
    <t>Meaning</t>
  </si>
  <si>
    <t>Used heavily.</t>
  </si>
  <si>
    <t>Background context</t>
  </si>
  <si>
    <t>Risk ranking bathing water microbial hazards.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</si>
</sst>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rlito"/>
    </font>
    <font>
      <b/>
      <sz val="11"/>
      <color rgb="FF0F172A"/>
      <name val="Carlito"/>
    </font>
    <font>
      <b/>
      <sz val="11"/>
      <name val="Carlito"/>
    </font>
    <font>
      <b/>
      <sz val="11"/>
      <color rgb="FF1F2937"/>
      <name val="Carlito"/>
    </font>
    <font>
      <sz val="11"/>
      <name val="Arial"/>
      <family val="2"/>
    </font>
    <font>
      <b/>
      <sz val="10"/>
      <color rgb="FF1F2937"/>
      <name val="Arial"/>
      <family val="2"/>
    </font>
    <font>
      <sz val="10"/>
      <name val="Arial"/>
      <family val="2"/>
    </font>
    <font>
      <i/>
      <sz val="11"/>
      <color rgb="FF374151"/>
      <name val="Arial"/>
      <family val="2"/>
    </font>
    <font>
      <b/>
      <sz val="11"/>
      <color rgb="FF1F293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F1E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5E7EB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6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4" fillId="0" borderId="0" xfId="0" applyFont="1"/>
    <xf numFmtId="0" fontId="5" fillId="6" borderId="0" xfId="0" applyFont="1" applyFill="1" applyAlignment="1">
      <alignment horizontal="center" vertical="center" wrapText="1"/>
    </xf>
    <xf numFmtId="0" fontId="6" fillId="0" borderId="0" xfId="0" applyFont="1"/>
    <xf numFmtId="1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8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vertical="top"/>
    </xf>
    <xf numFmtId="0" fontId="1" fillId="2" borderId="0" xfId="0" applyFont="1" applyFill="1" applyAlignment="1">
      <alignment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7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="70" zoomScaleNormal="70" workbookViewId="0">
      <selection sqref="A1:XFD1"/>
    </sheetView>
  </sheetViews>
  <sheetFormatPr defaultRowHeight="14" x14ac:dyDescent="0.3"/>
  <cols>
    <col min="1" max="2" width="20" customWidth="1"/>
    <col min="3" max="4" width="12" customWidth="1"/>
    <col min="6" max="7" width="28" customWidth="1"/>
    <col min="8" max="8" width="12" customWidth="1"/>
    <col min="10" max="10" width="8" customWidth="1"/>
    <col min="11" max="11" width="28" customWidth="1"/>
    <col min="12" max="12" width="12" customWidth="1"/>
    <col min="13" max="13" width="16" customWidth="1"/>
  </cols>
  <sheetData>
    <row r="1" spans="1:14" x14ac:dyDescent="0.3">
      <c r="A1" s="18" t="s">
        <v>0</v>
      </c>
      <c r="B1" s="18"/>
      <c r="C1" s="18"/>
      <c r="D1" s="18"/>
      <c r="E1" s="1"/>
      <c r="F1" s="18" t="s">
        <v>1</v>
      </c>
      <c r="G1" s="18"/>
      <c r="H1" s="18"/>
      <c r="I1" s="1"/>
      <c r="J1" s="18" t="s">
        <v>2</v>
      </c>
      <c r="K1" s="18"/>
      <c r="L1" s="18"/>
      <c r="M1" s="18"/>
      <c r="N1" s="1"/>
    </row>
    <row r="2" spans="1:14" ht="16" customHeight="1" x14ac:dyDescent="0.3">
      <c r="A2" s="19" t="s">
        <v>216</v>
      </c>
      <c r="B2" s="19"/>
      <c r="C2" s="19"/>
      <c r="D2" s="19"/>
      <c r="E2" s="1"/>
      <c r="F2" s="2" t="s">
        <v>3</v>
      </c>
      <c r="G2" s="2" t="s">
        <v>4</v>
      </c>
      <c r="H2" s="4">
        <v>4</v>
      </c>
      <c r="I2" s="1"/>
      <c r="J2" s="3" t="s">
        <v>5</v>
      </c>
      <c r="K2" s="3" t="s">
        <v>6</v>
      </c>
      <c r="L2" s="3" t="s">
        <v>7</v>
      </c>
      <c r="M2" s="3" t="s">
        <v>8</v>
      </c>
      <c r="N2" s="1"/>
    </row>
    <row r="3" spans="1:14" ht="16" customHeight="1" x14ac:dyDescent="0.3">
      <c r="A3" s="19"/>
      <c r="B3" s="19"/>
      <c r="C3" s="19"/>
      <c r="D3" s="19"/>
      <c r="E3" s="1"/>
      <c r="F3" s="2" t="s">
        <v>9</v>
      </c>
      <c r="G3" s="2" t="s">
        <v>4</v>
      </c>
      <c r="H3" s="4">
        <v>3</v>
      </c>
      <c r="I3" s="1"/>
      <c r="J3" s="1">
        <v>1</v>
      </c>
      <c r="K3" s="1" t="str">
        <f>INDEX('Pathogen Ranking'!$B$2:$B$32,MATCH(1,'Pathogen Ranking'!$A$2:$A$32,0))</f>
        <v>Norovirus</v>
      </c>
      <c r="L3" s="6">
        <f>INDEX('Pathogen Ranking'!$S$2:$S$32,MATCH(1,'Pathogen Ranking'!$A$2:$A$32,0))</f>
        <v>85.399999999999991</v>
      </c>
      <c r="M3" s="1" t="str">
        <f>INDEX('Pathogen Ranking'!$D$2:$D$32,MATCH(1,'Pathogen Ranking'!$A$2:$A$32,0))</f>
        <v>Core</v>
      </c>
      <c r="N3" s="1"/>
    </row>
    <row r="4" spans="1:14" ht="16" customHeight="1" x14ac:dyDescent="0.3">
      <c r="A4" s="19"/>
      <c r="B4" s="19"/>
      <c r="C4" s="19"/>
      <c r="D4" s="19"/>
      <c r="E4" s="1"/>
      <c r="F4" s="2" t="s">
        <v>10</v>
      </c>
      <c r="G4" s="2" t="s">
        <v>4</v>
      </c>
      <c r="H4" s="4">
        <v>3</v>
      </c>
      <c r="I4" s="1"/>
      <c r="J4" s="1">
        <v>2</v>
      </c>
      <c r="K4" s="1" t="str">
        <f>INDEX('Pathogen Ranking'!$B$2:$B$32,MATCH(2,'Pathogen Ranking'!$A$2:$A$32,0))</f>
        <v>Cryptosporidium spp.</v>
      </c>
      <c r="L4" s="6">
        <f>INDEX('Pathogen Ranking'!$S$2:$S$32,MATCH(2,'Pathogen Ranking'!$A$2:$A$32,0))</f>
        <v>83.066666666666663</v>
      </c>
      <c r="M4" s="1" t="str">
        <f>INDEX('Pathogen Ranking'!$D$2:$D$32,MATCH(2,'Pathogen Ranking'!$A$2:$A$32,0))</f>
        <v>Core</v>
      </c>
      <c r="N4" s="1"/>
    </row>
    <row r="5" spans="1:14" ht="16" customHeight="1" x14ac:dyDescent="0.3">
      <c r="A5" s="19"/>
      <c r="B5" s="19"/>
      <c r="C5" s="19"/>
      <c r="D5" s="19"/>
      <c r="E5" s="1"/>
      <c r="F5" s="2" t="s">
        <v>11</v>
      </c>
      <c r="G5" s="2" t="s">
        <v>12</v>
      </c>
      <c r="H5" s="4">
        <v>3</v>
      </c>
      <c r="I5" s="1"/>
      <c r="J5" s="1">
        <v>3</v>
      </c>
      <c r="K5" s="1" t="str">
        <f>INDEX('Pathogen Ranking'!$B$2:$B$32,MATCH(3,'Pathogen Ranking'!$A$2:$A$32,0))</f>
        <v>STEC</v>
      </c>
      <c r="L5" s="6">
        <f>INDEX('Pathogen Ranking'!$S$2:$S$32,MATCH(3,'Pathogen Ranking'!$A$2:$A$32,0))</f>
        <v>78.766666666666652</v>
      </c>
      <c r="M5" s="1" t="str">
        <f>INDEX('Pathogen Ranking'!$D$2:$D$32,MATCH(3,'Pathogen Ranking'!$A$2:$A$32,0))</f>
        <v>Core</v>
      </c>
      <c r="N5" s="1"/>
    </row>
    <row r="6" spans="1:14" ht="16" customHeight="1" x14ac:dyDescent="0.3">
      <c r="A6" s="19"/>
      <c r="B6" s="19"/>
      <c r="C6" s="19"/>
      <c r="D6" s="19"/>
      <c r="E6" s="1"/>
      <c r="F6" s="2" t="s">
        <v>13</v>
      </c>
      <c r="G6" s="2" t="s">
        <v>14</v>
      </c>
      <c r="H6" s="4">
        <v>2</v>
      </c>
      <c r="I6" s="1"/>
      <c r="J6" s="1">
        <v>4</v>
      </c>
      <c r="K6" s="1" t="str">
        <f>INDEX('Pathogen Ranking'!$B$2:$B$32,MATCH(4,'Pathogen Ranking'!$A$2:$A$32,0))</f>
        <v>Shigella spp.</v>
      </c>
      <c r="L6" s="6">
        <f>INDEX('Pathogen Ranking'!$S$2:$S$32,MATCH(4,'Pathogen Ranking'!$A$2:$A$32,0))</f>
        <v>76.433333333333323</v>
      </c>
      <c r="M6" s="1" t="str">
        <f>INDEX('Pathogen Ranking'!$D$2:$D$32,MATCH(4,'Pathogen Ranking'!$A$2:$A$32,0))</f>
        <v>Core</v>
      </c>
      <c r="N6" s="1"/>
    </row>
    <row r="7" spans="1:14" ht="16" customHeight="1" x14ac:dyDescent="0.3">
      <c r="A7" s="1"/>
      <c r="B7" s="1"/>
      <c r="C7" s="1"/>
      <c r="D7" s="1"/>
      <c r="E7" s="1"/>
      <c r="F7" s="2" t="s">
        <v>15</v>
      </c>
      <c r="G7" s="2" t="s">
        <v>16</v>
      </c>
      <c r="H7" s="4">
        <v>3</v>
      </c>
      <c r="I7" s="1"/>
      <c r="J7" s="1">
        <v>5</v>
      </c>
      <c r="K7" s="1" t="str">
        <f>INDEX('Pathogen Ranking'!$B$2:$B$32,MATCH(5,'Pathogen Ranking'!$A$2:$A$32,0))</f>
        <v>Hepatitis A virus</v>
      </c>
      <c r="L7" s="6">
        <f>INDEX('Pathogen Ranking'!$S$2:$S$32,MATCH(5,'Pathogen Ranking'!$A$2:$A$32,0))</f>
        <v>74.433333333333337</v>
      </c>
      <c r="M7" s="1" t="str">
        <f>INDEX('Pathogen Ranking'!$D$2:$D$32,MATCH(5,'Pathogen Ranking'!$A$2:$A$32,0))</f>
        <v>Conditional</v>
      </c>
      <c r="N7" s="1"/>
    </row>
    <row r="8" spans="1:14" ht="16" customHeight="1" x14ac:dyDescent="0.3">
      <c r="A8" s="18" t="s">
        <v>17</v>
      </c>
      <c r="B8" s="18"/>
      <c r="C8" s="18"/>
      <c r="D8" s="1"/>
      <c r="E8" s="1"/>
      <c r="F8" s="20" t="s">
        <v>18</v>
      </c>
      <c r="G8" s="20"/>
      <c r="H8" s="4">
        <v>30</v>
      </c>
      <c r="I8" s="1"/>
      <c r="J8" s="1">
        <v>6</v>
      </c>
      <c r="K8" s="1" t="str">
        <f>INDEX('Pathogen Ranking'!$B$2:$B$32,MATCH(6,'Pathogen Ranking'!$A$2:$A$32,0))</f>
        <v>Rotavirus</v>
      </c>
      <c r="L8" s="6">
        <f>INDEX('Pathogen Ranking'!$S$2:$S$32,MATCH(6,'Pathogen Ranking'!$A$2:$A$32,0))</f>
        <v>70.233333333333334</v>
      </c>
      <c r="M8" s="1" t="str">
        <f>INDEX('Pathogen Ranking'!$D$2:$D$32,MATCH(6,'Pathogen Ranking'!$A$2:$A$32,0))</f>
        <v>Conditional</v>
      </c>
      <c r="N8" s="1"/>
    </row>
    <row r="9" spans="1:14" ht="42" x14ac:dyDescent="0.3">
      <c r="A9" s="2" t="s">
        <v>19</v>
      </c>
      <c r="B9" s="2" t="s">
        <v>20</v>
      </c>
      <c r="C9" s="4">
        <v>25</v>
      </c>
      <c r="D9" s="1"/>
      <c r="E9" s="1"/>
      <c r="F9" s="1"/>
      <c r="G9" s="1"/>
      <c r="H9" s="1"/>
      <c r="I9" s="1"/>
      <c r="J9" s="1">
        <v>7</v>
      </c>
      <c r="K9" s="1" t="str">
        <f>INDEX('Pathogen Ranking'!$B$2:$B$32,MATCH(7,'Pathogen Ranking'!$A$2:$A$32,0))</f>
        <v>Adenovirus 40/41</v>
      </c>
      <c r="L9" s="6">
        <f>INDEX('Pathogen Ranking'!$S$2:$S$32,MATCH(7,'Pathogen Ranking'!$A$2:$A$32,0))</f>
        <v>70.133333333333326</v>
      </c>
      <c r="M9" s="1" t="str">
        <f>INDEX('Pathogen Ranking'!$D$2:$D$32,MATCH(7,'Pathogen Ranking'!$A$2:$A$32,0))</f>
        <v>Conditional</v>
      </c>
      <c r="N9" s="1"/>
    </row>
    <row r="10" spans="1:14" ht="28" x14ac:dyDescent="0.3">
      <c r="A10" s="2" t="s">
        <v>21</v>
      </c>
      <c r="B10" s="2" t="s">
        <v>22</v>
      </c>
      <c r="C10" s="4">
        <v>15</v>
      </c>
      <c r="D10" s="1"/>
      <c r="E10" s="1"/>
      <c r="F10" s="1"/>
      <c r="G10" s="1"/>
      <c r="H10" s="1"/>
      <c r="I10" s="1"/>
      <c r="J10" s="1">
        <v>8</v>
      </c>
      <c r="K10" s="1" t="str">
        <f>INDEX('Pathogen Ranking'!$B$2:$B$32,MATCH(8,'Pathogen Ranking'!$A$2:$A$32,0))</f>
        <v>Campylobacter spp.</v>
      </c>
      <c r="L10" s="6">
        <f>INDEX('Pathogen Ranking'!$S$2:$S$32,MATCH(8,'Pathogen Ranking'!$A$2:$A$32,0))</f>
        <v>68.333333333333329</v>
      </c>
      <c r="M10" s="1" t="str">
        <f>INDEX('Pathogen Ranking'!$D$2:$D$32,MATCH(8,'Pathogen Ranking'!$A$2:$A$32,0))</f>
        <v>Core</v>
      </c>
      <c r="N10" s="1"/>
    </row>
    <row r="11" spans="1:14" ht="42" x14ac:dyDescent="0.3">
      <c r="A11" s="2" t="s">
        <v>23</v>
      </c>
      <c r="B11" s="2" t="s">
        <v>24</v>
      </c>
      <c r="C11" s="4">
        <v>25</v>
      </c>
      <c r="D11" s="1"/>
      <c r="E11" s="1"/>
      <c r="F11" s="1"/>
      <c r="G11" s="1"/>
      <c r="H11" s="1"/>
      <c r="I11" s="1"/>
      <c r="J11" s="1">
        <v>9</v>
      </c>
      <c r="K11" s="1" t="str">
        <f>INDEX('Pathogen Ranking'!$B$2:$B$32,MATCH(9,'Pathogen Ranking'!$A$2:$A$32,0))</f>
        <v>Sapovirus</v>
      </c>
      <c r="L11" s="6">
        <f>INDEX('Pathogen Ranking'!$S$2:$S$32,MATCH(9,'Pathogen Ranking'!$A$2:$A$32,0))</f>
        <v>68.133333333333326</v>
      </c>
      <c r="M11" s="1" t="str">
        <f>INDEX('Pathogen Ranking'!$D$2:$D$32,MATCH(9,'Pathogen Ranking'!$A$2:$A$32,0))</f>
        <v>Conditional</v>
      </c>
      <c r="N11" s="1"/>
    </row>
    <row r="12" spans="1:14" ht="42" x14ac:dyDescent="0.3">
      <c r="A12" s="2" t="s">
        <v>25</v>
      </c>
      <c r="B12" s="2" t="s">
        <v>26</v>
      </c>
      <c r="C12" s="4">
        <v>10</v>
      </c>
      <c r="D12" s="1"/>
      <c r="E12" s="1"/>
      <c r="F12" s="1"/>
      <c r="G12" s="1"/>
      <c r="H12" s="1"/>
      <c r="I12" s="1"/>
      <c r="J12" s="1">
        <v>10</v>
      </c>
      <c r="K12" s="1" t="str">
        <f>INDEX('Pathogen Ranking'!$B$2:$B$32,MATCH(10,'Pathogen Ranking'!$A$2:$A$32,0))</f>
        <v>Enteroviruses</v>
      </c>
      <c r="L12" s="6">
        <f>INDEX('Pathogen Ranking'!$S$2:$S$32,MATCH(10,'Pathogen Ranking'!$A$2:$A$32,0))</f>
        <v>67.733333333333334</v>
      </c>
      <c r="M12" s="1" t="str">
        <f>INDEX('Pathogen Ranking'!$D$2:$D$32,MATCH(10,'Pathogen Ranking'!$A$2:$A$32,0))</f>
        <v>Conditional</v>
      </c>
      <c r="N12" s="1"/>
    </row>
    <row r="13" spans="1:14" ht="56" x14ac:dyDescent="0.3">
      <c r="A13" s="2" t="s">
        <v>27</v>
      </c>
      <c r="B13" s="2" t="s">
        <v>28</v>
      </c>
      <c r="C13" s="4">
        <v>25</v>
      </c>
      <c r="D13" s="1"/>
      <c r="E13" s="1"/>
      <c r="F13" s="1"/>
      <c r="G13" s="1"/>
      <c r="H13" s="1"/>
      <c r="I13" s="1"/>
      <c r="J13" s="18" t="s">
        <v>29</v>
      </c>
      <c r="K13" s="18"/>
      <c r="L13" s="18"/>
      <c r="M13" s="18"/>
      <c r="N13" s="1"/>
    </row>
    <row r="14" spans="1:14" x14ac:dyDescent="0.3">
      <c r="A14" s="20" t="s">
        <v>30</v>
      </c>
      <c r="B14" s="20"/>
      <c r="C14" s="5">
        <f>SUM(C9:C13)</f>
        <v>100</v>
      </c>
      <c r="D14" s="1"/>
      <c r="E14" s="1"/>
      <c r="F14" s="1"/>
      <c r="G14" s="1"/>
      <c r="H14" s="1"/>
      <c r="I14" s="1"/>
      <c r="J14" s="19" t="s">
        <v>31</v>
      </c>
      <c r="K14" s="19"/>
      <c r="L14" s="19"/>
      <c r="M14" s="19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9"/>
      <c r="K15" s="19"/>
      <c r="L15" s="19"/>
      <c r="M15" s="19"/>
      <c r="N15" s="1"/>
    </row>
    <row r="16" spans="1:14" x14ac:dyDescent="0.3">
      <c r="A16" s="1"/>
      <c r="B16" s="1"/>
      <c r="C16" s="1"/>
      <c r="D16" s="1"/>
      <c r="E16" s="1"/>
      <c r="F16" s="1"/>
      <c r="G16" s="1"/>
      <c r="H16" s="1"/>
      <c r="I16" s="1"/>
      <c r="J16" s="19"/>
      <c r="K16" s="19"/>
      <c r="L16" s="19"/>
      <c r="M16" s="19"/>
      <c r="N16" s="1"/>
    </row>
    <row r="17" spans="1:1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mergeCells count="9">
    <mergeCell ref="A14:B14"/>
    <mergeCell ref="J1:M1"/>
    <mergeCell ref="J13:M13"/>
    <mergeCell ref="J14:M16"/>
    <mergeCell ref="A1:D1"/>
    <mergeCell ref="A2:D6"/>
    <mergeCell ref="F1:H1"/>
    <mergeCell ref="F8:G8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4"/>
  <sheetViews>
    <sheetView zoomScale="60" zoomScaleNormal="60" workbookViewId="0">
      <pane xSplit="2" topLeftCell="C1" activePane="topRight" state="frozenSplit"/>
      <selection pane="topRight" sqref="A1:XFD1"/>
    </sheetView>
  </sheetViews>
  <sheetFormatPr defaultColWidth="44" defaultRowHeight="14" x14ac:dyDescent="0.3"/>
  <cols>
    <col min="1" max="1" width="4.9140625" style="7" bestFit="1" customWidth="1"/>
    <col min="2" max="5" width="44" style="7"/>
    <col min="6" max="6" width="17.58203125" style="7" bestFit="1" customWidth="1"/>
    <col min="7" max="7" width="18.1640625" style="7" bestFit="1" customWidth="1"/>
    <col min="8" max="8" width="15.25" style="7" bestFit="1" customWidth="1"/>
    <col min="9" max="9" width="11.33203125" style="7" bestFit="1" customWidth="1"/>
    <col min="10" max="10" width="15.4140625" style="7" bestFit="1" customWidth="1"/>
    <col min="11" max="11" width="12.33203125" style="7" bestFit="1" customWidth="1"/>
    <col min="12" max="12" width="15.25" style="7" bestFit="1" customWidth="1"/>
    <col min="13" max="13" width="10.5" style="7" bestFit="1" customWidth="1"/>
    <col min="14" max="14" width="12.1640625" style="7" bestFit="1" customWidth="1"/>
    <col min="15" max="15" width="8.1640625" style="7" bestFit="1" customWidth="1"/>
    <col min="16" max="16" width="15.08203125" style="7" bestFit="1" customWidth="1"/>
    <col min="17" max="17" width="11.1640625" style="7" bestFit="1" customWidth="1"/>
    <col min="18" max="18" width="17.4140625" style="7" bestFit="1" customWidth="1"/>
    <col min="19" max="19" width="9.5" style="7" bestFit="1" customWidth="1"/>
    <col min="20" max="16384" width="44" style="7"/>
  </cols>
  <sheetData>
    <row r="1" spans="1:20" s="9" customFormat="1" ht="39" x14ac:dyDescent="0.25">
      <c r="A1" s="8" t="s">
        <v>5</v>
      </c>
      <c r="B1" s="8" t="s">
        <v>6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  <c r="R1" s="8" t="s">
        <v>47</v>
      </c>
      <c r="S1" s="8" t="s">
        <v>7</v>
      </c>
      <c r="T1" s="16" t="s">
        <v>48</v>
      </c>
    </row>
    <row r="2" spans="1:20" x14ac:dyDescent="0.3">
      <c r="A2" s="10">
        <f>1+COUNTIF($S$2:$S$32,"&gt;"&amp;S2)+COUNTIFS($S$2:S2,S2)-1</f>
        <v>1</v>
      </c>
      <c r="B2" s="11" t="s">
        <v>49</v>
      </c>
      <c r="C2" s="11" t="s">
        <v>50</v>
      </c>
      <c r="D2" s="11" t="s">
        <v>51</v>
      </c>
      <c r="E2" s="11" t="s">
        <v>52</v>
      </c>
      <c r="F2" s="12">
        <v>5</v>
      </c>
      <c r="G2" s="12">
        <v>3</v>
      </c>
      <c r="H2" s="12">
        <v>5</v>
      </c>
      <c r="I2" s="12">
        <v>4</v>
      </c>
      <c r="J2" s="12">
        <v>5</v>
      </c>
      <c r="K2" s="13">
        <f>IF(SUM(Dashboard!$C$9:$C$13)=0,0,(F2*Dashboard!$C$9+G2*Dashboard!$C$10+H2*Dashboard!$C$11+I2*Dashboard!$C$12+J2*Dashboard!$C$13)/SUM(Dashboard!$C$9:$C$13)/5*100)</f>
        <v>92</v>
      </c>
      <c r="L2" s="13">
        <v>5</v>
      </c>
      <c r="M2" s="13">
        <v>2</v>
      </c>
      <c r="N2" s="13">
        <v>3</v>
      </c>
      <c r="O2" s="13">
        <v>5</v>
      </c>
      <c r="P2" s="13">
        <v>2</v>
      </c>
      <c r="Q2" s="13">
        <v>3</v>
      </c>
      <c r="R2" s="14">
        <f>IF(SUM(Dashboard!$H$2:$H$7)=0,0,(L2*Dashboard!$H$2+M2*Dashboard!$H$3+N2*Dashboard!$H$4+O2*Dashboard!$H$5+P2*Dashboard!$H$6+Q2*Dashboard!$H$7)/SUM(Dashboard!$H$2:$H$7)/5*100)</f>
        <v>70</v>
      </c>
      <c r="S2" s="14">
        <f>K2*(1-Dashboard!$H$8/100)+R2*(Dashboard!$H$8/100)</f>
        <v>85.399999999999991</v>
      </c>
      <c r="T2" s="17" t="s">
        <v>53</v>
      </c>
    </row>
    <row r="3" spans="1:20" x14ac:dyDescent="0.3">
      <c r="A3" s="10">
        <f>1+COUNTIF($S$2:$S$32,"&gt;"&amp;S3)+COUNTIFS($S$2:S3,S3)-1</f>
        <v>2</v>
      </c>
      <c r="B3" s="11" t="s">
        <v>54</v>
      </c>
      <c r="C3" s="11" t="s">
        <v>50</v>
      </c>
      <c r="D3" s="11" t="s">
        <v>51</v>
      </c>
      <c r="E3" s="11" t="s">
        <v>52</v>
      </c>
      <c r="F3" s="12">
        <v>5</v>
      </c>
      <c r="G3" s="12">
        <v>4</v>
      </c>
      <c r="H3" s="12">
        <v>4</v>
      </c>
      <c r="I3" s="12">
        <v>5</v>
      </c>
      <c r="J3" s="12">
        <v>5</v>
      </c>
      <c r="K3" s="13">
        <f>IF(SUM(Dashboard!$C$9:$C$13)=0,0,(F3*Dashboard!$C$9+G3*Dashboard!$C$10+H3*Dashboard!$C$11+I3*Dashboard!$C$12+J3*Dashboard!$C$13)/SUM(Dashboard!$C$9:$C$13)/5*100)</f>
        <v>92</v>
      </c>
      <c r="L3" s="13">
        <v>3</v>
      </c>
      <c r="M3" s="13">
        <v>5</v>
      </c>
      <c r="N3" s="13">
        <v>2</v>
      </c>
      <c r="O3" s="13">
        <v>5</v>
      </c>
      <c r="P3" s="13">
        <v>1</v>
      </c>
      <c r="Q3" s="13">
        <v>2</v>
      </c>
      <c r="R3" s="14">
        <f>IF(SUM(Dashboard!$H$2:$H$7)=0,0,(L3*Dashboard!$H$2+M3*Dashboard!$H$3+N3*Dashboard!$H$4+O3*Dashboard!$H$5+P3*Dashboard!$H$6+Q3*Dashboard!$H$7)/SUM(Dashboard!$H$2:$H$7)/5*100)</f>
        <v>62.222222222222221</v>
      </c>
      <c r="S3" s="14">
        <f>K3*(1-Dashboard!$H$8/100)+R3*(Dashboard!$H$8/100)</f>
        <v>83.066666666666663</v>
      </c>
      <c r="T3" s="17" t="s">
        <v>55</v>
      </c>
    </row>
    <row r="4" spans="1:20" x14ac:dyDescent="0.3">
      <c r="A4" s="10">
        <f>1+COUNTIF($S$2:$S$32,"&gt;"&amp;S4)+COUNTIFS($S$2:S4,S4)-1</f>
        <v>3</v>
      </c>
      <c r="B4" s="11" t="s">
        <v>56</v>
      </c>
      <c r="C4" s="11" t="s">
        <v>50</v>
      </c>
      <c r="D4" s="11" t="s">
        <v>51</v>
      </c>
      <c r="E4" s="11" t="s">
        <v>52</v>
      </c>
      <c r="F4" s="12">
        <v>5</v>
      </c>
      <c r="G4" s="12">
        <v>5</v>
      </c>
      <c r="H4" s="12">
        <v>3</v>
      </c>
      <c r="I4" s="12">
        <v>4</v>
      </c>
      <c r="J4" s="12">
        <v>4</v>
      </c>
      <c r="K4" s="13">
        <f>IF(SUM(Dashboard!$C$9:$C$13)=0,0,(F4*Dashboard!$C$9+G4*Dashboard!$C$10+H4*Dashboard!$C$11+I4*Dashboard!$C$12+J4*Dashboard!$C$13)/SUM(Dashboard!$C$9:$C$13)/5*100)</f>
        <v>83</v>
      </c>
      <c r="L4" s="13">
        <v>3</v>
      </c>
      <c r="M4" s="13">
        <v>5</v>
      </c>
      <c r="N4" s="13">
        <v>2</v>
      </c>
      <c r="O4" s="13">
        <v>5</v>
      </c>
      <c r="P4" s="13">
        <v>1</v>
      </c>
      <c r="Q4" s="13">
        <v>4</v>
      </c>
      <c r="R4" s="14">
        <f>IF(SUM(Dashboard!$H$2:$H$7)=0,0,(L4*Dashboard!$H$2+M4*Dashboard!$H$3+N4*Dashboard!$H$4+O4*Dashboard!$H$5+P4*Dashboard!$H$6+Q4*Dashboard!$H$7)/SUM(Dashboard!$H$2:$H$7)/5*100)</f>
        <v>68.888888888888886</v>
      </c>
      <c r="S4" s="14">
        <f>K4*(1-Dashboard!$H$8/100)+R4*(Dashboard!$H$8/100)</f>
        <v>78.766666666666652</v>
      </c>
      <c r="T4" s="17" t="s">
        <v>57</v>
      </c>
    </row>
    <row r="5" spans="1:20" x14ac:dyDescent="0.3">
      <c r="A5" s="10">
        <f>1+COUNTIF($S$2:$S$32,"&gt;"&amp;S5)+COUNTIFS($S$2:S5,S5)-1</f>
        <v>4</v>
      </c>
      <c r="B5" s="11" t="s">
        <v>58</v>
      </c>
      <c r="C5" s="11" t="s">
        <v>50</v>
      </c>
      <c r="D5" s="11" t="s">
        <v>51</v>
      </c>
      <c r="E5" s="11" t="s">
        <v>52</v>
      </c>
      <c r="F5" s="12">
        <v>5</v>
      </c>
      <c r="G5" s="12">
        <v>4</v>
      </c>
      <c r="H5" s="12">
        <v>3</v>
      </c>
      <c r="I5" s="12">
        <v>3</v>
      </c>
      <c r="J5" s="12">
        <v>5</v>
      </c>
      <c r="K5" s="13">
        <f>IF(SUM(Dashboard!$C$9:$C$13)=0,0,(F5*Dashboard!$C$9+G5*Dashboard!$C$10+H5*Dashboard!$C$11+I5*Dashboard!$C$12+J5*Dashboard!$C$13)/SUM(Dashboard!$C$9:$C$13)/5*100)</f>
        <v>83</v>
      </c>
      <c r="L5" s="13">
        <v>5</v>
      </c>
      <c r="M5" s="13">
        <v>1</v>
      </c>
      <c r="N5" s="13">
        <v>2</v>
      </c>
      <c r="O5" s="13">
        <v>4</v>
      </c>
      <c r="P5" s="13">
        <v>1</v>
      </c>
      <c r="Q5" s="13">
        <v>4</v>
      </c>
      <c r="R5" s="14">
        <f>IF(SUM(Dashboard!$H$2:$H$7)=0,0,(L5*Dashboard!$H$2+M5*Dashboard!$H$3+N5*Dashboard!$H$4+O5*Dashboard!$H$5+P5*Dashboard!$H$6+Q5*Dashboard!$H$7)/SUM(Dashboard!$H$2:$H$7)/5*100)</f>
        <v>61.111111111111107</v>
      </c>
      <c r="S5" s="14">
        <f>K5*(1-Dashboard!$H$8/100)+R5*(Dashboard!$H$8/100)</f>
        <v>76.433333333333323</v>
      </c>
      <c r="T5" s="17" t="s">
        <v>59</v>
      </c>
    </row>
    <row r="6" spans="1:20" x14ac:dyDescent="0.3">
      <c r="A6" s="10">
        <f>1+COUNTIF($S$2:$S$32,"&gt;"&amp;S6)+COUNTIFS($S$2:S6,S6)-1</f>
        <v>8</v>
      </c>
      <c r="B6" s="11" t="s">
        <v>60</v>
      </c>
      <c r="C6" s="11" t="s">
        <v>50</v>
      </c>
      <c r="D6" s="11" t="s">
        <v>51</v>
      </c>
      <c r="E6" s="11" t="s">
        <v>52</v>
      </c>
      <c r="F6" s="12">
        <v>3</v>
      </c>
      <c r="G6" s="12">
        <v>3</v>
      </c>
      <c r="H6" s="12">
        <v>4</v>
      </c>
      <c r="I6" s="12">
        <v>3</v>
      </c>
      <c r="J6" s="12">
        <v>4</v>
      </c>
      <c r="K6" s="13">
        <f>IF(SUM(Dashboard!$C$9:$C$13)=0,0,(F6*Dashboard!$C$9+G6*Dashboard!$C$10+H6*Dashboard!$C$11+I6*Dashboard!$C$12+J6*Dashboard!$C$13)/SUM(Dashboard!$C$9:$C$13)/5*100)</f>
        <v>70</v>
      </c>
      <c r="L6" s="13">
        <v>2</v>
      </c>
      <c r="M6" s="13">
        <v>5</v>
      </c>
      <c r="N6" s="13">
        <v>2</v>
      </c>
      <c r="O6" s="13">
        <v>5</v>
      </c>
      <c r="P6" s="13">
        <v>1</v>
      </c>
      <c r="Q6" s="13">
        <v>4</v>
      </c>
      <c r="R6" s="14">
        <f>IF(SUM(Dashboard!$H$2:$H$7)=0,0,(L6*Dashboard!$H$2+M6*Dashboard!$H$3+N6*Dashboard!$H$4+O6*Dashboard!$H$5+P6*Dashboard!$H$6+Q6*Dashboard!$H$7)/SUM(Dashboard!$H$2:$H$7)/5*100)</f>
        <v>64.444444444444443</v>
      </c>
      <c r="S6" s="14">
        <f>K6*(1-Dashboard!$H$8/100)+R6*(Dashboard!$H$8/100)</f>
        <v>68.333333333333329</v>
      </c>
      <c r="T6" s="17" t="s">
        <v>61</v>
      </c>
    </row>
    <row r="7" spans="1:20" x14ac:dyDescent="0.3">
      <c r="A7" s="10">
        <f>1+COUNTIF($S$2:$S$32,"&gt;"&amp;S7)+COUNTIFS($S$2:S7,S7)-1</f>
        <v>11</v>
      </c>
      <c r="B7" s="11" t="s">
        <v>62</v>
      </c>
      <c r="C7" s="11" t="s">
        <v>50</v>
      </c>
      <c r="D7" s="11" t="s">
        <v>51</v>
      </c>
      <c r="E7" s="11" t="s">
        <v>52</v>
      </c>
      <c r="F7" s="12">
        <v>3</v>
      </c>
      <c r="G7" s="12">
        <v>3</v>
      </c>
      <c r="H7" s="12">
        <v>4</v>
      </c>
      <c r="I7" s="12">
        <v>4</v>
      </c>
      <c r="J7" s="12">
        <v>4</v>
      </c>
      <c r="K7" s="13">
        <f>IF(SUM(Dashboard!$C$9:$C$13)=0,0,(F7*Dashboard!$C$9+G7*Dashboard!$C$10+H7*Dashboard!$C$11+I7*Dashboard!$C$12+J7*Dashboard!$C$13)/SUM(Dashboard!$C$9:$C$13)/5*100)</f>
        <v>72</v>
      </c>
      <c r="L7" s="13">
        <v>3</v>
      </c>
      <c r="M7" s="13">
        <v>4</v>
      </c>
      <c r="N7" s="13">
        <v>2</v>
      </c>
      <c r="O7" s="13">
        <v>4</v>
      </c>
      <c r="P7" s="13">
        <v>1</v>
      </c>
      <c r="Q7" s="13">
        <v>2</v>
      </c>
      <c r="R7" s="14">
        <f>IF(SUM(Dashboard!$H$2:$H$7)=0,0,(L7*Dashboard!$H$2+M7*Dashboard!$H$3+N7*Dashboard!$H$4+O7*Dashboard!$H$5+P7*Dashboard!$H$6+Q7*Dashboard!$H$7)/SUM(Dashboard!$H$2:$H$7)/5*100)</f>
        <v>55.555555555555557</v>
      </c>
      <c r="S7" s="14">
        <f>K7*(1-Dashboard!$H$8/100)+R7*(Dashboard!$H$8/100)</f>
        <v>67.066666666666663</v>
      </c>
      <c r="T7" s="17" t="s">
        <v>63</v>
      </c>
    </row>
    <row r="8" spans="1:20" x14ac:dyDescent="0.3">
      <c r="A8" s="10">
        <f>1+COUNTIF($S$2:$S$32,"&gt;"&amp;S8)+COUNTIFS($S$2:S8,S8)-1</f>
        <v>12</v>
      </c>
      <c r="B8" s="11" t="s">
        <v>64</v>
      </c>
      <c r="C8" s="11" t="s">
        <v>50</v>
      </c>
      <c r="D8" s="11" t="s">
        <v>51</v>
      </c>
      <c r="E8" s="11" t="s">
        <v>52</v>
      </c>
      <c r="F8" s="12">
        <v>2</v>
      </c>
      <c r="G8" s="12">
        <v>4</v>
      </c>
      <c r="H8" s="12">
        <v>3</v>
      </c>
      <c r="I8" s="12">
        <v>4</v>
      </c>
      <c r="J8" s="12">
        <v>4</v>
      </c>
      <c r="K8" s="13">
        <f>IF(SUM(Dashboard!$C$9:$C$13)=0,0,(F8*Dashboard!$C$9+G8*Dashboard!$C$10+H8*Dashboard!$C$11+I8*Dashboard!$C$12+J8*Dashboard!$C$13)/SUM(Dashboard!$C$9:$C$13)/5*100)</f>
        <v>65</v>
      </c>
      <c r="L8" s="13">
        <v>3</v>
      </c>
      <c r="M8" s="13">
        <v>4</v>
      </c>
      <c r="N8" s="13">
        <v>2</v>
      </c>
      <c r="O8" s="13">
        <v>4</v>
      </c>
      <c r="P8" s="13">
        <v>1</v>
      </c>
      <c r="Q8" s="13">
        <v>4</v>
      </c>
      <c r="R8" s="14">
        <f>IF(SUM(Dashboard!$H$2:$H$7)=0,0,(L8*Dashboard!$H$2+M8*Dashboard!$H$3+N8*Dashboard!$H$4+O8*Dashboard!$H$5+P8*Dashboard!$H$6+Q8*Dashboard!$H$7)/SUM(Dashboard!$H$2:$H$7)/5*100)</f>
        <v>62.222222222222221</v>
      </c>
      <c r="S8" s="14">
        <f>K8*(1-Dashboard!$H$8/100)+R8*(Dashboard!$H$8/100)</f>
        <v>64.166666666666657</v>
      </c>
      <c r="T8" s="17" t="s">
        <v>65</v>
      </c>
    </row>
    <row r="9" spans="1:20" x14ac:dyDescent="0.3">
      <c r="A9" s="10">
        <f>1+COUNTIF($S$2:$S$32,"&gt;"&amp;S9)+COUNTIFS($S$2:S9,S9)-1</f>
        <v>7</v>
      </c>
      <c r="B9" s="11" t="s">
        <v>66</v>
      </c>
      <c r="C9" s="11" t="s">
        <v>50</v>
      </c>
      <c r="D9" s="11" t="s">
        <v>67</v>
      </c>
      <c r="E9" s="11" t="s">
        <v>68</v>
      </c>
      <c r="F9" s="12">
        <v>3</v>
      </c>
      <c r="G9" s="12">
        <v>3</v>
      </c>
      <c r="H9" s="12">
        <v>4</v>
      </c>
      <c r="I9" s="12">
        <v>5</v>
      </c>
      <c r="J9" s="12">
        <v>4</v>
      </c>
      <c r="K9" s="13">
        <f>IF(SUM(Dashboard!$C$9:$C$13)=0,0,(F9*Dashboard!$C$9+G9*Dashboard!$C$10+H9*Dashboard!$C$11+I9*Dashboard!$C$12+J9*Dashboard!$C$13)/SUM(Dashboard!$C$9:$C$13)/5*100)</f>
        <v>74</v>
      </c>
      <c r="L9" s="13">
        <v>5</v>
      </c>
      <c r="M9" s="13">
        <v>1</v>
      </c>
      <c r="N9" s="13">
        <v>3</v>
      </c>
      <c r="O9" s="13">
        <v>4</v>
      </c>
      <c r="P9" s="13">
        <v>1</v>
      </c>
      <c r="Q9" s="13">
        <v>3</v>
      </c>
      <c r="R9" s="14">
        <f>IF(SUM(Dashboard!$H$2:$H$7)=0,0,(L9*Dashboard!$H$2+M9*Dashboard!$H$3+N9*Dashboard!$H$4+O9*Dashboard!$H$5+P9*Dashboard!$H$6+Q9*Dashboard!$H$7)/SUM(Dashboard!$H$2:$H$7)/5*100)</f>
        <v>61.111111111111107</v>
      </c>
      <c r="S9" s="14">
        <f>K9*(1-Dashboard!$H$8/100)+R9*(Dashboard!$H$8/100)</f>
        <v>70.133333333333326</v>
      </c>
      <c r="T9" s="17" t="s">
        <v>69</v>
      </c>
    </row>
    <row r="10" spans="1:20" x14ac:dyDescent="0.3">
      <c r="A10" s="10">
        <f>1+COUNTIF($S$2:$S$32,"&gt;"&amp;S10)+COUNTIFS($S$2:S10,S10)-1</f>
        <v>5</v>
      </c>
      <c r="B10" s="11" t="s">
        <v>70</v>
      </c>
      <c r="C10" s="11" t="s">
        <v>50</v>
      </c>
      <c r="D10" s="11" t="s">
        <v>67</v>
      </c>
      <c r="E10" s="11" t="s">
        <v>68</v>
      </c>
      <c r="F10" s="12">
        <v>5</v>
      </c>
      <c r="G10" s="12">
        <v>5</v>
      </c>
      <c r="H10" s="12">
        <v>3</v>
      </c>
      <c r="I10" s="12">
        <v>4</v>
      </c>
      <c r="J10" s="12">
        <v>4</v>
      </c>
      <c r="K10" s="13">
        <f>IF(SUM(Dashboard!$C$9:$C$13)=0,0,(F10*Dashboard!$C$9+G10*Dashboard!$C$10+H10*Dashboard!$C$11+I10*Dashboard!$C$12+J10*Dashboard!$C$13)/SUM(Dashboard!$C$9:$C$13)/5*100)</f>
        <v>83</v>
      </c>
      <c r="L10" s="13">
        <v>5</v>
      </c>
      <c r="M10" s="13">
        <v>1</v>
      </c>
      <c r="N10" s="13">
        <v>2</v>
      </c>
      <c r="O10" s="13">
        <v>4</v>
      </c>
      <c r="P10" s="13">
        <v>1</v>
      </c>
      <c r="Q10" s="13">
        <v>2</v>
      </c>
      <c r="R10" s="14">
        <f>IF(SUM(Dashboard!$H$2:$H$7)=0,0,(L10*Dashboard!$H$2+M10*Dashboard!$H$3+N10*Dashboard!$H$4+O10*Dashboard!$H$5+P10*Dashboard!$H$6+Q10*Dashboard!$H$7)/SUM(Dashboard!$H$2:$H$7)/5*100)</f>
        <v>54.44444444444445</v>
      </c>
      <c r="S10" s="14">
        <f>K10*(1-Dashboard!$H$8/100)+R10*(Dashboard!$H$8/100)</f>
        <v>74.433333333333337</v>
      </c>
      <c r="T10" s="17" t="s">
        <v>71</v>
      </c>
    </row>
    <row r="11" spans="1:20" x14ac:dyDescent="0.3">
      <c r="A11" s="10">
        <f>1+COUNTIF($S$2:$S$32,"&gt;"&amp;S11)+COUNTIFS($S$2:S11,S11)-1</f>
        <v>6</v>
      </c>
      <c r="B11" s="11" t="s">
        <v>72</v>
      </c>
      <c r="C11" s="11" t="s">
        <v>50</v>
      </c>
      <c r="D11" s="11" t="s">
        <v>67</v>
      </c>
      <c r="E11" s="11" t="s">
        <v>68</v>
      </c>
      <c r="F11" s="12">
        <v>5</v>
      </c>
      <c r="G11" s="12">
        <v>3</v>
      </c>
      <c r="H11" s="12">
        <v>3</v>
      </c>
      <c r="I11" s="12">
        <v>4</v>
      </c>
      <c r="J11" s="12">
        <v>4</v>
      </c>
      <c r="K11" s="13">
        <f>IF(SUM(Dashboard!$C$9:$C$13)=0,0,(F11*Dashboard!$C$9+G11*Dashboard!$C$10+H11*Dashboard!$C$11+I11*Dashboard!$C$12+J11*Dashboard!$C$13)/SUM(Dashboard!$C$9:$C$13)/5*100)</f>
        <v>77</v>
      </c>
      <c r="L11" s="13">
        <v>5</v>
      </c>
      <c r="M11" s="13">
        <v>1</v>
      </c>
      <c r="N11" s="13">
        <v>2</v>
      </c>
      <c r="O11" s="13">
        <v>4</v>
      </c>
      <c r="P11" s="13">
        <v>1</v>
      </c>
      <c r="Q11" s="13">
        <v>2</v>
      </c>
      <c r="R11" s="14">
        <f>IF(SUM(Dashboard!$H$2:$H$7)=0,0,(L11*Dashboard!$H$2+M11*Dashboard!$H$3+N11*Dashboard!$H$4+O11*Dashboard!$H$5+P11*Dashboard!$H$6+Q11*Dashboard!$H$7)/SUM(Dashboard!$H$2:$H$7)/5*100)</f>
        <v>54.44444444444445</v>
      </c>
      <c r="S11" s="14">
        <f>K11*(1-Dashboard!$H$8/100)+R11*(Dashboard!$H$8/100)</f>
        <v>70.233333333333334</v>
      </c>
      <c r="T11" s="17" t="s">
        <v>73</v>
      </c>
    </row>
    <row r="12" spans="1:20" x14ac:dyDescent="0.3">
      <c r="A12" s="10">
        <f>1+COUNTIF($S$2:$S$32,"&gt;"&amp;S12)+COUNTIFS($S$2:S12,S12)-1</f>
        <v>10</v>
      </c>
      <c r="B12" s="11" t="s">
        <v>74</v>
      </c>
      <c r="C12" s="11" t="s">
        <v>50</v>
      </c>
      <c r="D12" s="11" t="s">
        <v>67</v>
      </c>
      <c r="E12" s="11" t="s">
        <v>68</v>
      </c>
      <c r="F12" s="12">
        <v>3</v>
      </c>
      <c r="G12" s="12">
        <v>3</v>
      </c>
      <c r="H12" s="12">
        <v>4</v>
      </c>
      <c r="I12" s="12">
        <v>4</v>
      </c>
      <c r="J12" s="12">
        <v>4</v>
      </c>
      <c r="K12" s="13">
        <f>IF(SUM(Dashboard!$C$9:$C$13)=0,0,(F12*Dashboard!$C$9+G12*Dashboard!$C$10+H12*Dashboard!$C$11+I12*Dashboard!$C$12+J12*Dashboard!$C$13)/SUM(Dashboard!$C$9:$C$13)/5*100)</f>
        <v>72</v>
      </c>
      <c r="L12" s="13">
        <v>5</v>
      </c>
      <c r="M12" s="13">
        <v>1</v>
      </c>
      <c r="N12" s="13">
        <v>3</v>
      </c>
      <c r="O12" s="13">
        <v>4</v>
      </c>
      <c r="P12" s="13">
        <v>1</v>
      </c>
      <c r="Q12" s="13">
        <v>2</v>
      </c>
      <c r="R12" s="14">
        <f>IF(SUM(Dashboard!$H$2:$H$7)=0,0,(L12*Dashboard!$H$2+M12*Dashboard!$H$3+N12*Dashboard!$H$4+O12*Dashboard!$H$5+P12*Dashboard!$H$6+Q12*Dashboard!$H$7)/SUM(Dashboard!$H$2:$H$7)/5*100)</f>
        <v>57.777777777777771</v>
      </c>
      <c r="S12" s="14">
        <f>K12*(1-Dashboard!$H$8/100)+R12*(Dashboard!$H$8/100)</f>
        <v>67.733333333333334</v>
      </c>
      <c r="T12" s="17" t="s">
        <v>75</v>
      </c>
    </row>
    <row r="13" spans="1:20" x14ac:dyDescent="0.3">
      <c r="A13" s="10">
        <f>1+COUNTIF($S$2:$S$32,"&gt;"&amp;S13)+COUNTIFS($S$2:S13,S13)-1</f>
        <v>9</v>
      </c>
      <c r="B13" s="11" t="s">
        <v>76</v>
      </c>
      <c r="C13" s="11" t="s">
        <v>50</v>
      </c>
      <c r="D13" s="11" t="s">
        <v>67</v>
      </c>
      <c r="E13" s="11" t="s">
        <v>68</v>
      </c>
      <c r="F13" s="12">
        <v>4</v>
      </c>
      <c r="G13" s="12">
        <v>2</v>
      </c>
      <c r="H13" s="12">
        <v>4</v>
      </c>
      <c r="I13" s="12">
        <v>4</v>
      </c>
      <c r="J13" s="12">
        <v>4</v>
      </c>
      <c r="K13" s="13">
        <f>IF(SUM(Dashboard!$C$9:$C$13)=0,0,(F13*Dashboard!$C$9+G13*Dashboard!$C$10+H13*Dashboard!$C$11+I13*Dashboard!$C$12+J13*Dashboard!$C$13)/SUM(Dashboard!$C$9:$C$13)/5*100)</f>
        <v>74</v>
      </c>
      <c r="L13" s="13">
        <v>5</v>
      </c>
      <c r="M13" s="13">
        <v>1</v>
      </c>
      <c r="N13" s="13">
        <v>2</v>
      </c>
      <c r="O13" s="13">
        <v>4</v>
      </c>
      <c r="P13" s="13">
        <v>1</v>
      </c>
      <c r="Q13" s="13">
        <v>2</v>
      </c>
      <c r="R13" s="14">
        <f>IF(SUM(Dashboard!$H$2:$H$7)=0,0,(L13*Dashboard!$H$2+M13*Dashboard!$H$3+N13*Dashboard!$H$4+O13*Dashboard!$H$5+P13*Dashboard!$H$6+Q13*Dashboard!$H$7)/SUM(Dashboard!$H$2:$H$7)/5*100)</f>
        <v>54.44444444444445</v>
      </c>
      <c r="S13" s="14">
        <f>K13*(1-Dashboard!$H$8/100)+R13*(Dashboard!$H$8/100)</f>
        <v>68.133333333333326</v>
      </c>
      <c r="T13" s="17" t="s">
        <v>77</v>
      </c>
    </row>
    <row r="14" spans="1:20" ht="28" x14ac:dyDescent="0.3">
      <c r="A14" s="10">
        <f>1+COUNTIF($S$2:$S$32,"&gt;"&amp;S14)+COUNTIFS($S$2:S14,S14)-1</f>
        <v>15</v>
      </c>
      <c r="B14" s="11" t="s">
        <v>78</v>
      </c>
      <c r="C14" s="11" t="s">
        <v>50</v>
      </c>
      <c r="D14" s="11" t="s">
        <v>67</v>
      </c>
      <c r="E14" s="11" t="s">
        <v>79</v>
      </c>
      <c r="F14" s="12">
        <v>3</v>
      </c>
      <c r="G14" s="12">
        <v>3</v>
      </c>
      <c r="H14" s="12">
        <v>3</v>
      </c>
      <c r="I14" s="12">
        <v>3</v>
      </c>
      <c r="J14" s="12">
        <v>3</v>
      </c>
      <c r="K14" s="13">
        <f>IF(SUM(Dashboard!$C$9:$C$13)=0,0,(F14*Dashboard!$C$9+G14*Dashboard!$C$10+H14*Dashboard!$C$11+I14*Dashboard!$C$12+J14*Dashboard!$C$13)/SUM(Dashboard!$C$9:$C$13)/5*100)</f>
        <v>60</v>
      </c>
      <c r="L14" s="13">
        <v>4</v>
      </c>
      <c r="M14" s="13">
        <v>2</v>
      </c>
      <c r="N14" s="13">
        <v>2</v>
      </c>
      <c r="O14" s="13">
        <v>4</v>
      </c>
      <c r="P14" s="13">
        <v>1</v>
      </c>
      <c r="Q14" s="13">
        <v>5</v>
      </c>
      <c r="R14" s="14">
        <f>IF(SUM(Dashboard!$H$2:$H$7)=0,0,(L14*Dashboard!$H$2+M14*Dashboard!$H$3+N14*Dashboard!$H$4+O14*Dashboard!$H$5+P14*Dashboard!$H$6+Q14*Dashboard!$H$7)/SUM(Dashboard!$H$2:$H$7)/5*100)</f>
        <v>63.333333333333329</v>
      </c>
      <c r="S14" s="14">
        <f>K14*(1-Dashboard!$H$8/100)+R14*(Dashboard!$H$8/100)</f>
        <v>61</v>
      </c>
      <c r="T14" s="17" t="s">
        <v>80</v>
      </c>
    </row>
    <row r="15" spans="1:20" ht="28" x14ac:dyDescent="0.3">
      <c r="A15" s="10">
        <f>1+COUNTIF($S$2:$S$32,"&gt;"&amp;S15)+COUNTIFS($S$2:S15,S15)-1</f>
        <v>13</v>
      </c>
      <c r="B15" s="11" t="s">
        <v>81</v>
      </c>
      <c r="C15" s="11" t="s">
        <v>50</v>
      </c>
      <c r="D15" s="11" t="s">
        <v>82</v>
      </c>
      <c r="E15" s="11" t="s">
        <v>83</v>
      </c>
      <c r="F15" s="12">
        <v>4</v>
      </c>
      <c r="G15" s="12">
        <v>5</v>
      </c>
      <c r="H15" s="12">
        <v>2</v>
      </c>
      <c r="I15" s="12">
        <v>3</v>
      </c>
      <c r="J15" s="12">
        <v>3</v>
      </c>
      <c r="K15" s="13">
        <f>IF(SUM(Dashboard!$C$9:$C$13)=0,0,(F15*Dashboard!$C$9+G15*Dashboard!$C$10+H15*Dashboard!$C$11+I15*Dashboard!$C$12+J15*Dashboard!$C$13)/SUM(Dashboard!$C$9:$C$13)/5*100)</f>
        <v>65.999999999999986</v>
      </c>
      <c r="L15" s="13">
        <v>5</v>
      </c>
      <c r="M15" s="13">
        <v>0</v>
      </c>
      <c r="N15" s="13">
        <v>1</v>
      </c>
      <c r="O15" s="13">
        <v>3</v>
      </c>
      <c r="P15" s="13">
        <v>1</v>
      </c>
      <c r="Q15" s="13">
        <v>4</v>
      </c>
      <c r="R15" s="14">
        <f>IF(SUM(Dashboard!$H$2:$H$7)=0,0,(L15*Dashboard!$H$2+M15*Dashboard!$H$3+N15*Dashboard!$H$4+O15*Dashboard!$H$5+P15*Dashboard!$H$6+Q15*Dashboard!$H$7)/SUM(Dashboard!$H$2:$H$7)/5*100)</f>
        <v>51.111111111111107</v>
      </c>
      <c r="S15" s="14">
        <f>K15*(1-Dashboard!$H$8/100)+R15*(Dashboard!$H$8/100)</f>
        <v>61.533333333333317</v>
      </c>
      <c r="T15" s="17" t="s">
        <v>84</v>
      </c>
    </row>
    <row r="16" spans="1:20" ht="28" x14ac:dyDescent="0.3">
      <c r="A16" s="10">
        <f>1+COUNTIF($S$2:$S$32,"&gt;"&amp;S16)+COUNTIFS($S$2:S16,S16)-1</f>
        <v>14</v>
      </c>
      <c r="B16" s="11" t="s">
        <v>85</v>
      </c>
      <c r="C16" s="11" t="s">
        <v>86</v>
      </c>
      <c r="D16" s="11" t="s">
        <v>67</v>
      </c>
      <c r="E16" s="11" t="s">
        <v>87</v>
      </c>
      <c r="F16" s="12">
        <v>3</v>
      </c>
      <c r="G16" s="12">
        <v>4</v>
      </c>
      <c r="H16" s="12">
        <v>2</v>
      </c>
      <c r="I16" s="12">
        <v>4</v>
      </c>
      <c r="J16" s="12">
        <v>4</v>
      </c>
      <c r="K16" s="13">
        <f>IF(SUM(Dashboard!$C$9:$C$13)=0,0,(F16*Dashboard!$C$9+G16*Dashboard!$C$10+H16*Dashboard!$C$11+I16*Dashboard!$C$12+J16*Dashboard!$C$13)/SUM(Dashboard!$C$9:$C$13)/5*100)</f>
        <v>65</v>
      </c>
      <c r="L16" s="13">
        <v>1</v>
      </c>
      <c r="M16" s="13">
        <v>4</v>
      </c>
      <c r="N16" s="13">
        <v>2</v>
      </c>
      <c r="O16" s="13">
        <v>5</v>
      </c>
      <c r="P16" s="13">
        <v>2</v>
      </c>
      <c r="Q16" s="13">
        <v>2</v>
      </c>
      <c r="R16" s="14">
        <f>IF(SUM(Dashboard!$H$2:$H$7)=0,0,(L16*Dashboard!$H$2+M16*Dashboard!$H$3+N16*Dashboard!$H$4+O16*Dashboard!$H$5+P16*Dashboard!$H$6+Q16*Dashboard!$H$7)/SUM(Dashboard!$H$2:$H$7)/5*100)</f>
        <v>52.222222222222229</v>
      </c>
      <c r="S16" s="14">
        <f>K16*(1-Dashboard!$H$8/100)+R16*(Dashboard!$H$8/100)</f>
        <v>61.166666666666671</v>
      </c>
      <c r="T16" s="17" t="s">
        <v>88</v>
      </c>
    </row>
    <row r="17" spans="1:20" x14ac:dyDescent="0.3">
      <c r="A17" s="10">
        <f>1+COUNTIF($S$2:$S$32,"&gt;"&amp;S17)+COUNTIFS($S$2:S17,S17)-1</f>
        <v>17</v>
      </c>
      <c r="B17" s="11" t="s">
        <v>89</v>
      </c>
      <c r="C17" s="11" t="s">
        <v>86</v>
      </c>
      <c r="D17" s="11" t="s">
        <v>67</v>
      </c>
      <c r="E17" s="11" t="s">
        <v>90</v>
      </c>
      <c r="F17" s="12">
        <v>3</v>
      </c>
      <c r="G17" s="12">
        <v>4</v>
      </c>
      <c r="H17" s="12">
        <v>2</v>
      </c>
      <c r="I17" s="12">
        <v>4</v>
      </c>
      <c r="J17" s="12">
        <v>4</v>
      </c>
      <c r="K17" s="13">
        <f>IF(SUM(Dashboard!$C$9:$C$13)=0,0,(F17*Dashboard!$C$9+G17*Dashboard!$C$10+H17*Dashboard!$C$11+I17*Dashboard!$C$12+J17*Dashboard!$C$13)/SUM(Dashboard!$C$9:$C$13)/5*100)</f>
        <v>65</v>
      </c>
      <c r="L17" s="13">
        <v>0</v>
      </c>
      <c r="M17" s="13">
        <v>0</v>
      </c>
      <c r="N17" s="13">
        <v>2</v>
      </c>
      <c r="O17" s="13">
        <v>4</v>
      </c>
      <c r="P17" s="13">
        <v>5</v>
      </c>
      <c r="Q17" s="13">
        <v>3</v>
      </c>
      <c r="R17" s="14">
        <f>IF(SUM(Dashboard!$H$2:$H$7)=0,0,(L17*Dashboard!$H$2+M17*Dashboard!$H$3+N17*Dashboard!$H$4+O17*Dashboard!$H$5+P17*Dashboard!$H$6+Q17*Dashboard!$H$7)/SUM(Dashboard!$H$2:$H$7)/5*100)</f>
        <v>41.111111111111107</v>
      </c>
      <c r="S17" s="14">
        <f>K17*(1-Dashboard!$H$8/100)+R17*(Dashboard!$H$8/100)</f>
        <v>57.833333333333329</v>
      </c>
      <c r="T17" s="17" t="s">
        <v>91</v>
      </c>
    </row>
    <row r="18" spans="1:20" x14ac:dyDescent="0.3">
      <c r="A18" s="10">
        <f>1+COUNTIF($S$2:$S$32,"&gt;"&amp;S18)+COUNTIFS($S$2:S18,S18)-1</f>
        <v>16</v>
      </c>
      <c r="B18" s="11" t="s">
        <v>92</v>
      </c>
      <c r="C18" s="11" t="s">
        <v>86</v>
      </c>
      <c r="D18" s="11" t="s">
        <v>82</v>
      </c>
      <c r="E18" s="11" t="s">
        <v>90</v>
      </c>
      <c r="F18" s="12">
        <v>2</v>
      </c>
      <c r="G18" s="12">
        <v>3</v>
      </c>
      <c r="H18" s="12">
        <v>3</v>
      </c>
      <c r="I18" s="12">
        <v>5</v>
      </c>
      <c r="J18" s="12">
        <v>4</v>
      </c>
      <c r="K18" s="13">
        <f>IF(SUM(Dashboard!$C$9:$C$13)=0,0,(F18*Dashboard!$C$9+G18*Dashboard!$C$10+H18*Dashboard!$C$11+I18*Dashboard!$C$12+J18*Dashboard!$C$13)/SUM(Dashboard!$C$9:$C$13)/5*100)</f>
        <v>64</v>
      </c>
      <c r="L18" s="13">
        <v>1</v>
      </c>
      <c r="M18" s="13">
        <v>1</v>
      </c>
      <c r="N18" s="13">
        <v>3</v>
      </c>
      <c r="O18" s="13">
        <v>4</v>
      </c>
      <c r="P18" s="13">
        <v>3</v>
      </c>
      <c r="Q18" s="13">
        <v>4</v>
      </c>
      <c r="R18" s="14">
        <f>IF(SUM(Dashboard!$H$2:$H$7)=0,0,(L18*Dashboard!$H$2+M18*Dashboard!$H$3+N18*Dashboard!$H$4+O18*Dashboard!$H$5+P18*Dashboard!$H$6+Q18*Dashboard!$H$7)/SUM(Dashboard!$H$2:$H$7)/5*100)</f>
        <v>51.111111111111107</v>
      </c>
      <c r="S18" s="14">
        <f>K18*(1-Dashboard!$H$8/100)+R18*(Dashboard!$H$8/100)</f>
        <v>60.133333333333326</v>
      </c>
      <c r="T18" s="17" t="s">
        <v>93</v>
      </c>
    </row>
    <row r="19" spans="1:20" x14ac:dyDescent="0.3">
      <c r="A19" s="10">
        <f>1+COUNTIF($S$2:$S$32,"&gt;"&amp;S19)+COUNTIFS($S$2:S19,S19)-1</f>
        <v>21</v>
      </c>
      <c r="B19" s="11" t="s">
        <v>94</v>
      </c>
      <c r="C19" s="11" t="s">
        <v>86</v>
      </c>
      <c r="D19" s="11" t="s">
        <v>67</v>
      </c>
      <c r="E19" s="11" t="s">
        <v>95</v>
      </c>
      <c r="F19" s="12">
        <v>2</v>
      </c>
      <c r="G19" s="12">
        <v>5</v>
      </c>
      <c r="H19" s="12">
        <v>2</v>
      </c>
      <c r="I19" s="12">
        <v>4</v>
      </c>
      <c r="J19" s="12">
        <v>3</v>
      </c>
      <c r="K19" s="13">
        <f>IF(SUM(Dashboard!$C$9:$C$13)=0,0,(F19*Dashboard!$C$9+G19*Dashboard!$C$10+H19*Dashboard!$C$11+I19*Dashboard!$C$12+J19*Dashboard!$C$13)/SUM(Dashboard!$C$9:$C$13)/5*100)</f>
        <v>57.999999999999993</v>
      </c>
      <c r="L19" s="13">
        <v>1</v>
      </c>
      <c r="M19" s="13">
        <v>0</v>
      </c>
      <c r="N19" s="13">
        <v>2</v>
      </c>
      <c r="O19" s="13">
        <v>4</v>
      </c>
      <c r="P19" s="13">
        <v>5</v>
      </c>
      <c r="Q19" s="13">
        <v>1</v>
      </c>
      <c r="R19" s="14">
        <f>IF(SUM(Dashboard!$H$2:$H$7)=0,0,(L19*Dashboard!$H$2+M19*Dashboard!$H$3+N19*Dashboard!$H$4+O19*Dashboard!$H$5+P19*Dashboard!$H$6+Q19*Dashboard!$H$7)/SUM(Dashboard!$H$2:$H$7)/5*100)</f>
        <v>38.888888888888893</v>
      </c>
      <c r="S19" s="14">
        <f>K19*(1-Dashboard!$H$8/100)+R19*(Dashboard!$H$8/100)</f>
        <v>52.266666666666666</v>
      </c>
      <c r="T19" s="17" t="s">
        <v>96</v>
      </c>
    </row>
    <row r="20" spans="1:20" x14ac:dyDescent="0.3">
      <c r="A20" s="10">
        <f>1+COUNTIF($S$2:$S$32,"&gt;"&amp;S20)+COUNTIFS($S$2:S20,S20)-1</f>
        <v>26</v>
      </c>
      <c r="B20" s="11" t="s">
        <v>97</v>
      </c>
      <c r="C20" s="11" t="s">
        <v>86</v>
      </c>
      <c r="D20" s="11" t="s">
        <v>82</v>
      </c>
      <c r="E20" s="11" t="s">
        <v>90</v>
      </c>
      <c r="F20" s="12">
        <v>2</v>
      </c>
      <c r="G20" s="12">
        <v>1</v>
      </c>
      <c r="H20" s="12">
        <v>2</v>
      </c>
      <c r="I20" s="12">
        <v>4</v>
      </c>
      <c r="J20" s="12">
        <v>4</v>
      </c>
      <c r="K20" s="13">
        <f>IF(SUM(Dashboard!$C$9:$C$13)=0,0,(F20*Dashboard!$C$9+G20*Dashboard!$C$10+H20*Dashboard!$C$11+I20*Dashboard!$C$12+J20*Dashboard!$C$13)/SUM(Dashboard!$C$9:$C$13)/5*100)</f>
        <v>51</v>
      </c>
      <c r="L20" s="13">
        <v>0</v>
      </c>
      <c r="M20" s="13">
        <v>0</v>
      </c>
      <c r="N20" s="13">
        <v>1</v>
      </c>
      <c r="O20" s="13">
        <v>4</v>
      </c>
      <c r="P20" s="13">
        <v>2</v>
      </c>
      <c r="Q20" s="13">
        <v>1</v>
      </c>
      <c r="R20" s="14">
        <f>IF(SUM(Dashboard!$H$2:$H$7)=0,0,(L20*Dashboard!$H$2+M20*Dashboard!$H$3+N20*Dashboard!$H$4+O20*Dashboard!$H$5+P20*Dashboard!$H$6+Q20*Dashboard!$H$7)/SUM(Dashboard!$H$2:$H$7)/5*100)</f>
        <v>24.444444444444446</v>
      </c>
      <c r="S20" s="14">
        <f>K20*(1-Dashboard!$H$8/100)+R20*(Dashboard!$H$8/100)</f>
        <v>43.033333333333331</v>
      </c>
      <c r="T20" s="17" t="s">
        <v>98</v>
      </c>
    </row>
    <row r="21" spans="1:20" x14ac:dyDescent="0.3">
      <c r="A21" s="10">
        <f>1+COUNTIF($S$2:$S$32,"&gt;"&amp;S21)+COUNTIFS($S$2:S21,S21)-1</f>
        <v>23</v>
      </c>
      <c r="B21" s="11" t="s">
        <v>99</v>
      </c>
      <c r="C21" s="11" t="s">
        <v>86</v>
      </c>
      <c r="D21" s="11" t="s">
        <v>82</v>
      </c>
      <c r="E21" s="11" t="s">
        <v>100</v>
      </c>
      <c r="F21" s="12">
        <v>2</v>
      </c>
      <c r="G21" s="12">
        <v>3</v>
      </c>
      <c r="H21" s="12">
        <v>2</v>
      </c>
      <c r="I21" s="12">
        <v>4</v>
      </c>
      <c r="J21" s="12">
        <v>3</v>
      </c>
      <c r="K21" s="13">
        <f>IF(SUM(Dashboard!$C$9:$C$13)=0,0,(F21*Dashboard!$C$9+G21*Dashboard!$C$10+H21*Dashboard!$C$11+I21*Dashboard!$C$12+J21*Dashboard!$C$13)/SUM(Dashboard!$C$9:$C$13)/5*100)</f>
        <v>52</v>
      </c>
      <c r="L21" s="13">
        <v>1</v>
      </c>
      <c r="M21" s="13">
        <v>1</v>
      </c>
      <c r="N21" s="13">
        <v>3</v>
      </c>
      <c r="O21" s="13">
        <v>4</v>
      </c>
      <c r="P21" s="13">
        <v>3</v>
      </c>
      <c r="Q21" s="13">
        <v>3</v>
      </c>
      <c r="R21" s="14">
        <f>IF(SUM(Dashboard!$H$2:$H$7)=0,0,(L21*Dashboard!$H$2+M21*Dashboard!$H$3+N21*Dashboard!$H$4+O21*Dashboard!$H$5+P21*Dashboard!$H$6+Q21*Dashboard!$H$7)/SUM(Dashboard!$H$2:$H$7)/5*100)</f>
        <v>47.777777777777771</v>
      </c>
      <c r="S21" s="14">
        <f>K21*(1-Dashboard!$H$8/100)+R21*(Dashboard!$H$8/100)</f>
        <v>50.733333333333327</v>
      </c>
      <c r="T21" s="17" t="s">
        <v>101</v>
      </c>
    </row>
    <row r="22" spans="1:20" ht="28" x14ac:dyDescent="0.3">
      <c r="A22" s="10">
        <f>1+COUNTIF($S$2:$S$32,"&gt;"&amp;S22)+COUNTIFS($S$2:S22,S22)-1</f>
        <v>25</v>
      </c>
      <c r="B22" s="11" t="s">
        <v>102</v>
      </c>
      <c r="C22" s="11" t="s">
        <v>86</v>
      </c>
      <c r="D22" s="11" t="s">
        <v>82</v>
      </c>
      <c r="E22" s="11" t="s">
        <v>103</v>
      </c>
      <c r="F22" s="12">
        <v>2</v>
      </c>
      <c r="G22" s="12">
        <v>5</v>
      </c>
      <c r="H22" s="12">
        <v>1</v>
      </c>
      <c r="I22" s="12">
        <v>3</v>
      </c>
      <c r="J22" s="12">
        <v>3</v>
      </c>
      <c r="K22" s="13">
        <f>IF(SUM(Dashboard!$C$9:$C$13)=0,0,(F22*Dashboard!$C$9+G22*Dashboard!$C$10+H22*Dashboard!$C$11+I22*Dashboard!$C$12+J22*Dashboard!$C$13)/SUM(Dashboard!$C$9:$C$13)/5*100)</f>
        <v>51</v>
      </c>
      <c r="L22" s="13">
        <v>0</v>
      </c>
      <c r="M22" s="13">
        <v>0</v>
      </c>
      <c r="N22" s="13">
        <v>0</v>
      </c>
      <c r="O22" s="13">
        <v>5</v>
      </c>
      <c r="P22" s="13">
        <v>5</v>
      </c>
      <c r="Q22" s="13">
        <v>1</v>
      </c>
      <c r="R22" s="14">
        <f>IF(SUM(Dashboard!$H$2:$H$7)=0,0,(L22*Dashboard!$H$2+M22*Dashboard!$H$3+N22*Dashboard!$H$4+O22*Dashboard!$H$5+P22*Dashboard!$H$6+Q22*Dashboard!$H$7)/SUM(Dashboard!$H$2:$H$7)/5*100)</f>
        <v>31.111111111111111</v>
      </c>
      <c r="S22" s="14">
        <f>K22*(1-Dashboard!$H$8/100)+R22*(Dashboard!$H$8/100)</f>
        <v>45.033333333333331</v>
      </c>
      <c r="T22" s="17" t="s">
        <v>104</v>
      </c>
    </row>
    <row r="23" spans="1:20" x14ac:dyDescent="0.3">
      <c r="A23" s="10">
        <f>1+COUNTIF($S$2:$S$32,"&gt;"&amp;S23)+COUNTIFS($S$2:S23,S23)-1</f>
        <v>19</v>
      </c>
      <c r="B23" s="11" t="s">
        <v>105</v>
      </c>
      <c r="C23" s="11" t="s">
        <v>106</v>
      </c>
      <c r="D23" s="11" t="s">
        <v>82</v>
      </c>
      <c r="E23" s="11" t="s">
        <v>107</v>
      </c>
      <c r="F23" s="12">
        <v>3</v>
      </c>
      <c r="G23" s="12">
        <v>4</v>
      </c>
      <c r="H23" s="12">
        <v>3</v>
      </c>
      <c r="I23" s="12">
        <v>3</v>
      </c>
      <c r="J23" s="12">
        <v>2</v>
      </c>
      <c r="K23" s="13">
        <f>IF(SUM(Dashboard!$C$9:$C$13)=0,0,(F23*Dashboard!$C$9+G23*Dashboard!$C$10+H23*Dashboard!$C$11+I23*Dashboard!$C$12+J23*Dashboard!$C$13)/SUM(Dashboard!$C$9:$C$13)/5*100)</f>
        <v>57.999999999999993</v>
      </c>
      <c r="L23" s="13">
        <v>3</v>
      </c>
      <c r="M23" s="13">
        <v>3</v>
      </c>
      <c r="N23" s="13">
        <v>2</v>
      </c>
      <c r="O23" s="13">
        <v>3</v>
      </c>
      <c r="P23" s="13">
        <v>1</v>
      </c>
      <c r="Q23" s="13">
        <v>1</v>
      </c>
      <c r="R23" s="14">
        <f>IF(SUM(Dashboard!$H$2:$H$7)=0,0,(L23*Dashboard!$H$2+M23*Dashboard!$H$3+N23*Dashboard!$H$4+O23*Dashboard!$H$5+P23*Dashboard!$H$6+Q23*Dashboard!$H$7)/SUM(Dashboard!$H$2:$H$7)/5*100)</f>
        <v>45.555555555555557</v>
      </c>
      <c r="S23" s="14">
        <f>K23*(1-Dashboard!$H$8/100)+R23*(Dashboard!$H$8/100)</f>
        <v>54.266666666666659</v>
      </c>
      <c r="T23" s="17" t="s">
        <v>108</v>
      </c>
    </row>
    <row r="24" spans="1:20" x14ac:dyDescent="0.3">
      <c r="A24" s="10">
        <f>1+COUNTIF($S$2:$S$32,"&gt;"&amp;S24)+COUNTIFS($S$2:S24,S24)-1</f>
        <v>20</v>
      </c>
      <c r="B24" s="11" t="s">
        <v>109</v>
      </c>
      <c r="C24" s="11" t="s">
        <v>106</v>
      </c>
      <c r="D24" s="11" t="s">
        <v>82</v>
      </c>
      <c r="E24" s="11" t="s">
        <v>100</v>
      </c>
      <c r="F24" s="12">
        <v>2</v>
      </c>
      <c r="G24" s="12">
        <v>3</v>
      </c>
      <c r="H24" s="12">
        <v>3</v>
      </c>
      <c r="I24" s="12">
        <v>3</v>
      </c>
      <c r="J24" s="12">
        <v>3</v>
      </c>
      <c r="K24" s="13">
        <f>IF(SUM(Dashboard!$C$9:$C$13)=0,0,(F24*Dashboard!$C$9+G24*Dashboard!$C$10+H24*Dashboard!$C$11+I24*Dashboard!$C$12+J24*Dashboard!$C$13)/SUM(Dashboard!$C$9:$C$13)/5*100)</f>
        <v>55.000000000000007</v>
      </c>
      <c r="L24" s="13">
        <v>2</v>
      </c>
      <c r="M24" s="13">
        <v>1</v>
      </c>
      <c r="N24" s="13">
        <v>3</v>
      </c>
      <c r="O24" s="13">
        <v>3</v>
      </c>
      <c r="P24" s="13">
        <v>2</v>
      </c>
      <c r="Q24" s="13">
        <v>4</v>
      </c>
      <c r="R24" s="14">
        <f>IF(SUM(Dashboard!$H$2:$H$7)=0,0,(L24*Dashboard!$H$2+M24*Dashboard!$H$3+N24*Dashboard!$H$4+O24*Dashboard!$H$5+P24*Dashboard!$H$6+Q24*Dashboard!$H$7)/SUM(Dashboard!$H$2:$H$7)/5*100)</f>
        <v>50</v>
      </c>
      <c r="S24" s="14">
        <f>K24*(1-Dashboard!$H$8/100)+R24*(Dashboard!$H$8/100)</f>
        <v>53.5</v>
      </c>
      <c r="T24" s="17" t="s">
        <v>110</v>
      </c>
    </row>
    <row r="25" spans="1:20" x14ac:dyDescent="0.3">
      <c r="A25" s="10">
        <f>1+COUNTIF($S$2:$S$32,"&gt;"&amp;S25)+COUNTIFS($S$2:S25,S25)-1</f>
        <v>18</v>
      </c>
      <c r="B25" s="11" t="s">
        <v>111</v>
      </c>
      <c r="C25" s="11" t="s">
        <v>106</v>
      </c>
      <c r="D25" s="11" t="s">
        <v>82</v>
      </c>
      <c r="E25" s="11" t="s">
        <v>100</v>
      </c>
      <c r="F25" s="12">
        <v>2</v>
      </c>
      <c r="G25" s="12">
        <v>3</v>
      </c>
      <c r="H25" s="12">
        <v>3</v>
      </c>
      <c r="I25" s="12">
        <v>3</v>
      </c>
      <c r="J25" s="12">
        <v>3</v>
      </c>
      <c r="K25" s="13">
        <f>IF(SUM(Dashboard!$C$9:$C$13)=0,0,(F25*Dashboard!$C$9+G25*Dashboard!$C$10+H25*Dashboard!$C$11+I25*Dashboard!$C$12+J25*Dashboard!$C$13)/SUM(Dashboard!$C$9:$C$13)/5*100)</f>
        <v>55.000000000000007</v>
      </c>
      <c r="L25" s="13">
        <v>2</v>
      </c>
      <c r="M25" s="13">
        <v>4</v>
      </c>
      <c r="N25" s="13">
        <v>2</v>
      </c>
      <c r="O25" s="13">
        <v>4</v>
      </c>
      <c r="P25" s="13">
        <v>1</v>
      </c>
      <c r="Q25" s="13">
        <v>3</v>
      </c>
      <c r="R25" s="14">
        <f>IF(SUM(Dashboard!$H$2:$H$7)=0,0,(L25*Dashboard!$H$2+M25*Dashboard!$H$3+N25*Dashboard!$H$4+O25*Dashboard!$H$5+P25*Dashboard!$H$6+Q25*Dashboard!$H$7)/SUM(Dashboard!$H$2:$H$7)/5*100)</f>
        <v>54.44444444444445</v>
      </c>
      <c r="S25" s="14">
        <f>K25*(1-Dashboard!$H$8/100)+R25*(Dashboard!$H$8/100)</f>
        <v>54.833333333333336</v>
      </c>
      <c r="T25" s="17" t="s">
        <v>112</v>
      </c>
    </row>
    <row r="26" spans="1:20" x14ac:dyDescent="0.3">
      <c r="A26" s="10">
        <f>1+COUNTIF($S$2:$S$32,"&gt;"&amp;S26)+COUNTIFS($S$2:S26,S26)-1</f>
        <v>27</v>
      </c>
      <c r="B26" s="11" t="s">
        <v>113</v>
      </c>
      <c r="C26" s="11" t="s">
        <v>106</v>
      </c>
      <c r="D26" s="11" t="s">
        <v>82</v>
      </c>
      <c r="E26" s="11" t="s">
        <v>100</v>
      </c>
      <c r="F26" s="12">
        <v>2</v>
      </c>
      <c r="G26" s="12">
        <v>1</v>
      </c>
      <c r="H26" s="12">
        <v>3</v>
      </c>
      <c r="I26" s="12">
        <v>3</v>
      </c>
      <c r="J26" s="12">
        <v>3</v>
      </c>
      <c r="K26" s="13">
        <f>IF(SUM(Dashboard!$C$9:$C$13)=0,0,(F26*Dashboard!$C$9+G26*Dashboard!$C$10+H26*Dashboard!$C$11+I26*Dashboard!$C$12+J26*Dashboard!$C$13)/SUM(Dashboard!$C$9:$C$13)/5*100)</f>
        <v>49.000000000000007</v>
      </c>
      <c r="L26" s="13">
        <v>0</v>
      </c>
      <c r="M26" s="13">
        <v>0</v>
      </c>
      <c r="N26" s="13">
        <v>2</v>
      </c>
      <c r="O26" s="13">
        <v>3</v>
      </c>
      <c r="P26" s="13">
        <v>2</v>
      </c>
      <c r="Q26" s="13">
        <v>1</v>
      </c>
      <c r="R26" s="14">
        <f>IF(SUM(Dashboard!$H$2:$H$7)=0,0,(L26*Dashboard!$H$2+M26*Dashboard!$H$3+N26*Dashboard!$H$4+O26*Dashboard!$H$5+P26*Dashboard!$H$6+Q26*Dashboard!$H$7)/SUM(Dashboard!$H$2:$H$7)/5*100)</f>
        <v>24.444444444444446</v>
      </c>
      <c r="S26" s="14">
        <f>K26*(1-Dashboard!$H$8/100)+R26*(Dashboard!$H$8/100)</f>
        <v>41.63333333333334</v>
      </c>
      <c r="T26" s="17" t="s">
        <v>114</v>
      </c>
    </row>
    <row r="27" spans="1:20" ht="28" x14ac:dyDescent="0.3">
      <c r="A27" s="10">
        <f>1+COUNTIF($S$2:$S$32,"&gt;"&amp;S27)+COUNTIFS($S$2:S27,S27)-1</f>
        <v>24</v>
      </c>
      <c r="B27" s="11" t="s">
        <v>115</v>
      </c>
      <c r="C27" s="11" t="s">
        <v>106</v>
      </c>
      <c r="D27" s="11" t="s">
        <v>82</v>
      </c>
      <c r="E27" s="11" t="s">
        <v>116</v>
      </c>
      <c r="F27" s="12">
        <v>2</v>
      </c>
      <c r="G27" s="12">
        <v>5</v>
      </c>
      <c r="H27" s="12">
        <v>2</v>
      </c>
      <c r="I27" s="12">
        <v>4</v>
      </c>
      <c r="J27" s="12">
        <v>2</v>
      </c>
      <c r="K27" s="13">
        <f>IF(SUM(Dashboard!$C$9:$C$13)=0,0,(F27*Dashboard!$C$9+G27*Dashboard!$C$10+H27*Dashboard!$C$11+I27*Dashboard!$C$12+J27*Dashboard!$C$13)/SUM(Dashboard!$C$9:$C$13)/5*100)</f>
        <v>53</v>
      </c>
      <c r="L27" s="13">
        <v>1</v>
      </c>
      <c r="M27" s="13">
        <v>3</v>
      </c>
      <c r="N27" s="13">
        <v>1</v>
      </c>
      <c r="O27" s="13">
        <v>4</v>
      </c>
      <c r="P27" s="13">
        <v>1</v>
      </c>
      <c r="Q27" s="13">
        <v>1</v>
      </c>
      <c r="R27" s="14">
        <f>IF(SUM(Dashboard!$H$2:$H$7)=0,0,(L27*Dashboard!$H$2+M27*Dashboard!$H$3+N27*Dashboard!$H$4+O27*Dashboard!$H$5+P27*Dashboard!$H$6+Q27*Dashboard!$H$7)/SUM(Dashboard!$H$2:$H$7)/5*100)</f>
        <v>36.666666666666664</v>
      </c>
      <c r="S27" s="14">
        <f>K27*(1-Dashboard!$H$8/100)+R27*(Dashboard!$H$8/100)</f>
        <v>48.099999999999994</v>
      </c>
      <c r="T27" s="17" t="s">
        <v>117</v>
      </c>
    </row>
    <row r="28" spans="1:20" ht="28" x14ac:dyDescent="0.3">
      <c r="A28" s="10">
        <f>1+COUNTIF($S$2:$S$32,"&gt;"&amp;S28)+COUNTIFS($S$2:S28,S28)-1</f>
        <v>28</v>
      </c>
      <c r="B28" s="11" t="s">
        <v>118</v>
      </c>
      <c r="C28" s="11" t="s">
        <v>119</v>
      </c>
      <c r="D28" s="11" t="s">
        <v>82</v>
      </c>
      <c r="E28" s="11" t="s">
        <v>120</v>
      </c>
      <c r="F28" s="12">
        <v>1</v>
      </c>
      <c r="G28" s="12">
        <v>5</v>
      </c>
      <c r="H28" s="12">
        <v>1</v>
      </c>
      <c r="I28" s="12">
        <v>3</v>
      </c>
      <c r="J28" s="12">
        <v>2</v>
      </c>
      <c r="K28" s="13">
        <f>IF(SUM(Dashboard!$C$9:$C$13)=0,0,(F28*Dashboard!$C$9+G28*Dashboard!$C$10+H28*Dashboard!$C$11+I28*Dashboard!$C$12+J28*Dashboard!$C$13)/SUM(Dashboard!$C$9:$C$13)/5*100)</f>
        <v>41</v>
      </c>
      <c r="L28" s="13">
        <v>0</v>
      </c>
      <c r="M28" s="13">
        <v>0</v>
      </c>
      <c r="N28" s="13">
        <v>1</v>
      </c>
      <c r="O28" s="13">
        <v>3</v>
      </c>
      <c r="P28" s="13">
        <v>1</v>
      </c>
      <c r="Q28" s="13">
        <v>1</v>
      </c>
      <c r="R28" s="14">
        <f>IF(SUM(Dashboard!$H$2:$H$7)=0,0,(L28*Dashboard!$H$2+M28*Dashboard!$H$3+N28*Dashboard!$H$4+O28*Dashboard!$H$5+P28*Dashboard!$H$6+Q28*Dashboard!$H$7)/SUM(Dashboard!$H$2:$H$7)/5*100)</f>
        <v>18.888888888888889</v>
      </c>
      <c r="S28" s="14">
        <f>K28*(1-Dashboard!$H$8/100)+R28*(Dashboard!$H$8/100)</f>
        <v>34.366666666666667</v>
      </c>
      <c r="T28" s="17" t="s">
        <v>121</v>
      </c>
    </row>
    <row r="29" spans="1:20" ht="28" x14ac:dyDescent="0.3">
      <c r="A29" s="10">
        <f>1+COUNTIF($S$2:$S$32,"&gt;"&amp;S29)+COUNTIFS($S$2:S29,S29)-1</f>
        <v>29</v>
      </c>
      <c r="B29" s="11" t="s">
        <v>122</v>
      </c>
      <c r="C29" s="11" t="s">
        <v>119</v>
      </c>
      <c r="D29" s="11" t="s">
        <v>82</v>
      </c>
      <c r="E29" s="11" t="s">
        <v>123</v>
      </c>
      <c r="F29" s="12">
        <v>1</v>
      </c>
      <c r="G29" s="12">
        <v>5</v>
      </c>
      <c r="H29" s="12">
        <v>1</v>
      </c>
      <c r="I29" s="12">
        <v>3</v>
      </c>
      <c r="J29" s="12">
        <v>2</v>
      </c>
      <c r="K29" s="13">
        <f>IF(SUM(Dashboard!$C$9:$C$13)=0,0,(F29*Dashboard!$C$9+G29*Dashboard!$C$10+H29*Dashboard!$C$11+I29*Dashboard!$C$12+J29*Dashboard!$C$13)/SUM(Dashboard!$C$9:$C$13)/5*100)</f>
        <v>41</v>
      </c>
      <c r="L29" s="13">
        <v>0</v>
      </c>
      <c r="M29" s="13">
        <v>0</v>
      </c>
      <c r="N29" s="13">
        <v>1</v>
      </c>
      <c r="O29" s="13">
        <v>3</v>
      </c>
      <c r="P29" s="13">
        <v>1</v>
      </c>
      <c r="Q29" s="13">
        <v>1</v>
      </c>
      <c r="R29" s="14">
        <f>IF(SUM(Dashboard!$H$2:$H$7)=0,0,(L29*Dashboard!$H$2+M29*Dashboard!$H$3+N29*Dashboard!$H$4+O29*Dashboard!$H$5+P29*Dashboard!$H$6+Q29*Dashboard!$H$7)/SUM(Dashboard!$H$2:$H$7)/5*100)</f>
        <v>18.888888888888889</v>
      </c>
      <c r="S29" s="14">
        <f>K29*(1-Dashboard!$H$8/100)+R29*(Dashboard!$H$8/100)</f>
        <v>34.366666666666667</v>
      </c>
      <c r="T29" s="17" t="s">
        <v>124</v>
      </c>
    </row>
    <row r="30" spans="1:20" x14ac:dyDescent="0.3">
      <c r="A30" s="10">
        <f>1+COUNTIF($S$2:$S$32,"&gt;"&amp;S30)+COUNTIFS($S$2:S30,S30)-1</f>
        <v>22</v>
      </c>
      <c r="B30" s="11" t="s">
        <v>125</v>
      </c>
      <c r="C30" s="11" t="s">
        <v>126</v>
      </c>
      <c r="D30" s="11" t="s">
        <v>127</v>
      </c>
      <c r="E30" s="11" t="s">
        <v>126</v>
      </c>
      <c r="F30" s="12">
        <v>2</v>
      </c>
      <c r="G30" s="12">
        <v>4</v>
      </c>
      <c r="H30" s="12">
        <v>2</v>
      </c>
      <c r="I30" s="12">
        <v>5</v>
      </c>
      <c r="J30" s="12">
        <v>2</v>
      </c>
      <c r="K30" s="13">
        <f>IF(SUM(Dashboard!$C$9:$C$13)=0,0,(F30*Dashboard!$C$9+G30*Dashboard!$C$10+H30*Dashboard!$C$11+I30*Dashboard!$C$12+J30*Dashboard!$C$13)/SUM(Dashboard!$C$9:$C$13)/5*100)</f>
        <v>52</v>
      </c>
      <c r="L30" s="13">
        <v>3</v>
      </c>
      <c r="M30" s="13">
        <v>2</v>
      </c>
      <c r="N30" s="13">
        <v>2</v>
      </c>
      <c r="O30" s="13">
        <v>3</v>
      </c>
      <c r="P30" s="13">
        <v>1</v>
      </c>
      <c r="Q30" s="13">
        <v>3</v>
      </c>
      <c r="R30" s="14">
        <f>IF(SUM(Dashboard!$H$2:$H$7)=0,0,(L30*Dashboard!$H$2+M30*Dashboard!$H$3+N30*Dashboard!$H$4+O30*Dashboard!$H$5+P30*Dashboard!$H$6+Q30*Dashboard!$H$7)/SUM(Dashboard!$H$2:$H$7)/5*100)</f>
        <v>48.888888888888893</v>
      </c>
      <c r="S30" s="14">
        <f>K30*(1-Dashboard!$H$8/100)+R30*(Dashboard!$H$8/100)</f>
        <v>51.066666666666663</v>
      </c>
      <c r="T30" s="17" t="s">
        <v>128</v>
      </c>
    </row>
    <row r="31" spans="1:20" x14ac:dyDescent="0.3">
      <c r="A31" s="10">
        <f>1+COUNTIF($S$2:$S$32,"&gt;"&amp;S31)+COUNTIFS($S$2:S31,S31)-1</f>
        <v>31</v>
      </c>
      <c r="B31" s="11" t="s">
        <v>129</v>
      </c>
      <c r="C31" s="11" t="s">
        <v>126</v>
      </c>
      <c r="D31" s="11" t="s">
        <v>127</v>
      </c>
      <c r="E31" s="11" t="s">
        <v>126</v>
      </c>
      <c r="F31" s="12">
        <v>1</v>
      </c>
      <c r="G31" s="12">
        <v>4</v>
      </c>
      <c r="H31" s="12">
        <v>1</v>
      </c>
      <c r="I31" s="12">
        <v>3</v>
      </c>
      <c r="J31" s="12">
        <v>1</v>
      </c>
      <c r="K31" s="13">
        <f>IF(SUM(Dashboard!$C$9:$C$13)=0,0,(F31*Dashboard!$C$9+G31*Dashboard!$C$10+H31*Dashboard!$C$11+I31*Dashboard!$C$12+J31*Dashboard!$C$13)/SUM(Dashboard!$C$9:$C$13)/5*100)</f>
        <v>32.999999999999993</v>
      </c>
      <c r="L31" s="13">
        <v>0</v>
      </c>
      <c r="M31" s="13">
        <v>0</v>
      </c>
      <c r="N31" s="13">
        <v>1</v>
      </c>
      <c r="O31" s="13">
        <v>3</v>
      </c>
      <c r="P31" s="13">
        <v>2</v>
      </c>
      <c r="Q31" s="13">
        <v>1</v>
      </c>
      <c r="R31" s="14">
        <f>IF(SUM(Dashboard!$H$2:$H$7)=0,0,(L31*Dashboard!$H$2+M31*Dashboard!$H$3+N31*Dashboard!$H$4+O31*Dashboard!$H$5+P31*Dashboard!$H$6+Q31*Dashboard!$H$7)/SUM(Dashboard!$H$2:$H$7)/5*100)</f>
        <v>21.111111111111111</v>
      </c>
      <c r="S31" s="14">
        <f>K31*(1-Dashboard!$H$8/100)+R31*(Dashboard!$H$8/100)</f>
        <v>29.433333333333326</v>
      </c>
      <c r="T31" s="17" t="s">
        <v>130</v>
      </c>
    </row>
    <row r="32" spans="1:20" x14ac:dyDescent="0.3">
      <c r="A32" s="10">
        <f>1+COUNTIF($S$2:$S$32,"&gt;"&amp;S32)+COUNTIFS($S$2:S32,S32)-1</f>
        <v>30</v>
      </c>
      <c r="B32" s="11" t="s">
        <v>131</v>
      </c>
      <c r="C32" s="11" t="s">
        <v>126</v>
      </c>
      <c r="D32" s="11" t="s">
        <v>127</v>
      </c>
      <c r="E32" s="11" t="s">
        <v>126</v>
      </c>
      <c r="F32" s="12">
        <v>1</v>
      </c>
      <c r="G32" s="12">
        <v>4</v>
      </c>
      <c r="H32" s="12">
        <v>2</v>
      </c>
      <c r="I32" s="12">
        <v>2</v>
      </c>
      <c r="J32" s="12">
        <v>1</v>
      </c>
      <c r="K32" s="13">
        <f>IF(SUM(Dashboard!$C$9:$C$13)=0,0,(F32*Dashboard!$C$9+G32*Dashboard!$C$10+H32*Dashboard!$C$11+I32*Dashboard!$C$12+J32*Dashboard!$C$13)/SUM(Dashboard!$C$9:$C$13)/5*100)</f>
        <v>36</v>
      </c>
      <c r="L32" s="13">
        <v>2</v>
      </c>
      <c r="M32" s="13">
        <v>0</v>
      </c>
      <c r="N32" s="13">
        <v>1</v>
      </c>
      <c r="O32" s="13">
        <v>2</v>
      </c>
      <c r="P32" s="13">
        <v>1</v>
      </c>
      <c r="Q32" s="13">
        <v>1</v>
      </c>
      <c r="R32" s="14">
        <f>IF(SUM(Dashboard!$H$2:$H$7)=0,0,(L32*Dashboard!$H$2+M32*Dashboard!$H$3+N32*Dashboard!$H$4+O32*Dashboard!$H$5+P32*Dashboard!$H$6+Q32*Dashboard!$H$7)/SUM(Dashboard!$H$2:$H$7)/5*100)</f>
        <v>24.444444444444446</v>
      </c>
      <c r="S32" s="14">
        <f>K32*(1-Dashboard!$H$8/100)+R32*(Dashboard!$H$8/100)</f>
        <v>32.533333333333331</v>
      </c>
      <c r="T32" s="17" t="s">
        <v>132</v>
      </c>
    </row>
    <row r="34" spans="1:20" ht="14.5" x14ac:dyDescent="0.3">
      <c r="A34" s="21" t="s">
        <v>133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</sheetData>
  <mergeCells count="1">
    <mergeCell ref="A34:T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zoomScale="70" zoomScaleNormal="70" workbookViewId="0">
      <selection activeCell="B6" sqref="B6"/>
    </sheetView>
  </sheetViews>
  <sheetFormatPr defaultRowHeight="14" x14ac:dyDescent="0.3"/>
  <cols>
    <col min="1" max="1" width="29.58203125" bestFit="1" customWidth="1"/>
    <col min="2" max="2" width="91.83203125" bestFit="1" customWidth="1"/>
    <col min="3" max="3" width="109.58203125" customWidth="1"/>
  </cols>
  <sheetData>
    <row r="1" spans="1:3" x14ac:dyDescent="0.3">
      <c r="A1" s="3" t="s">
        <v>134</v>
      </c>
      <c r="B1" s="3" t="s">
        <v>213</v>
      </c>
      <c r="C1" s="3" t="s">
        <v>135</v>
      </c>
    </row>
    <row r="2" spans="1:3" ht="28" x14ac:dyDescent="0.3">
      <c r="A2" s="2" t="s">
        <v>19</v>
      </c>
      <c r="B2" s="2" t="s">
        <v>20</v>
      </c>
      <c r="C2" s="2" t="s">
        <v>136</v>
      </c>
    </row>
    <row r="3" spans="1:3" x14ac:dyDescent="0.3">
      <c r="A3" s="2" t="s">
        <v>21</v>
      </c>
      <c r="B3" s="2" t="s">
        <v>22</v>
      </c>
      <c r="C3" s="2" t="s">
        <v>137</v>
      </c>
    </row>
    <row r="4" spans="1:3" x14ac:dyDescent="0.3">
      <c r="A4" s="2" t="s">
        <v>23</v>
      </c>
      <c r="B4" s="2" t="s">
        <v>138</v>
      </c>
      <c r="C4" s="2" t="s">
        <v>139</v>
      </c>
    </row>
    <row r="5" spans="1:3" x14ac:dyDescent="0.3">
      <c r="A5" s="2" t="s">
        <v>25</v>
      </c>
      <c r="B5" s="2" t="s">
        <v>140</v>
      </c>
      <c r="C5" s="2" t="s">
        <v>141</v>
      </c>
    </row>
    <row r="6" spans="1:3" x14ac:dyDescent="0.3">
      <c r="A6" s="2" t="s">
        <v>27</v>
      </c>
      <c r="B6" s="2" t="s">
        <v>28</v>
      </c>
      <c r="C6" s="2" t="s">
        <v>142</v>
      </c>
    </row>
    <row r="7" spans="1:3" x14ac:dyDescent="0.3">
      <c r="A7" s="2" t="s">
        <v>41</v>
      </c>
      <c r="B7" s="2" t="s">
        <v>143</v>
      </c>
      <c r="C7" s="2" t="s">
        <v>144</v>
      </c>
    </row>
    <row r="8" spans="1:3" x14ac:dyDescent="0.3">
      <c r="A8" s="2" t="s">
        <v>145</v>
      </c>
      <c r="B8" s="2" t="s">
        <v>146</v>
      </c>
      <c r="C8" s="2" t="s">
        <v>147</v>
      </c>
    </row>
    <row r="9" spans="1:3" x14ac:dyDescent="0.3">
      <c r="A9" s="2" t="s">
        <v>148</v>
      </c>
      <c r="B9" s="2" t="s">
        <v>149</v>
      </c>
      <c r="C9" s="2" t="s">
        <v>150</v>
      </c>
    </row>
    <row r="10" spans="1:3" x14ac:dyDescent="0.3">
      <c r="A10" s="2" t="s">
        <v>151</v>
      </c>
      <c r="B10" s="2" t="s">
        <v>152</v>
      </c>
      <c r="C10" s="2" t="s">
        <v>153</v>
      </c>
    </row>
    <row r="11" spans="1:3" ht="15" customHeight="1" x14ac:dyDescent="0.3">
      <c r="A11" s="2" t="s">
        <v>154</v>
      </c>
      <c r="B11" s="2" t="s">
        <v>155</v>
      </c>
      <c r="C11" s="2" t="s">
        <v>156</v>
      </c>
    </row>
    <row r="12" spans="1:3" ht="15.5" customHeight="1" x14ac:dyDescent="0.3">
      <c r="A12" s="2" t="s">
        <v>157</v>
      </c>
      <c r="B12" s="2" t="s">
        <v>158</v>
      </c>
      <c r="C12" s="2" t="s">
        <v>159</v>
      </c>
    </row>
    <row r="13" spans="1:3" x14ac:dyDescent="0.3">
      <c r="A13" s="2" t="s">
        <v>32</v>
      </c>
      <c r="B13" s="2" t="s">
        <v>160</v>
      </c>
      <c r="C13" s="2" t="s">
        <v>161</v>
      </c>
    </row>
    <row r="14" spans="1:3" x14ac:dyDescent="0.3">
      <c r="A14" s="2" t="s">
        <v>33</v>
      </c>
      <c r="B14" s="2" t="s">
        <v>162</v>
      </c>
      <c r="C14" s="2" t="s">
        <v>163</v>
      </c>
    </row>
    <row r="15" spans="1:3" x14ac:dyDescent="0.3">
      <c r="A15" s="2" t="s">
        <v>34</v>
      </c>
      <c r="B15" s="2" t="s">
        <v>164</v>
      </c>
      <c r="C15" s="2" t="s">
        <v>165</v>
      </c>
    </row>
    <row r="16" spans="1:3" x14ac:dyDescent="0.3">
      <c r="A16" s="2" t="s">
        <v>40</v>
      </c>
      <c r="B16" s="2" t="s">
        <v>166</v>
      </c>
      <c r="C16" s="2" t="s">
        <v>167</v>
      </c>
    </row>
    <row r="17" spans="1:3" x14ac:dyDescent="0.3">
      <c r="A17" s="2" t="s">
        <v>47</v>
      </c>
      <c r="B17" s="2" t="s">
        <v>168</v>
      </c>
      <c r="C17" s="2" t="s">
        <v>169</v>
      </c>
    </row>
    <row r="18" spans="1:3" x14ac:dyDescent="0.3">
      <c r="A18" s="2" t="s">
        <v>7</v>
      </c>
      <c r="B18" s="2" t="s">
        <v>170</v>
      </c>
      <c r="C18" s="2" t="s">
        <v>171</v>
      </c>
    </row>
    <row r="19" spans="1:3" x14ac:dyDescent="0.3">
      <c r="A19" s="2" t="s">
        <v>172</v>
      </c>
      <c r="B19" s="2" t="s">
        <v>173</v>
      </c>
      <c r="C19" s="2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="70" zoomScaleNormal="70" workbookViewId="0">
      <selection activeCell="E7" sqref="E7"/>
    </sheetView>
  </sheetViews>
  <sheetFormatPr defaultColWidth="29" defaultRowHeight="14" x14ac:dyDescent="0.3"/>
  <cols>
    <col min="1" max="1" width="28" style="7" bestFit="1" customWidth="1"/>
    <col min="2" max="2" width="43.9140625" style="7" bestFit="1" customWidth="1"/>
    <col min="3" max="3" width="41.83203125" style="7" bestFit="1" customWidth="1"/>
    <col min="4" max="4" width="41.1640625" style="7" bestFit="1" customWidth="1"/>
    <col min="5" max="5" width="32.58203125" style="7" bestFit="1" customWidth="1"/>
    <col min="6" max="16384" width="29" style="7"/>
  </cols>
  <sheetData>
    <row r="1" spans="1:5" x14ac:dyDescent="0.3">
      <c r="A1" s="15" t="s">
        <v>176</v>
      </c>
      <c r="B1" s="15" t="s">
        <v>177</v>
      </c>
      <c r="C1" s="15" t="s">
        <v>178</v>
      </c>
      <c r="D1" s="15" t="s">
        <v>179</v>
      </c>
      <c r="E1" s="15" t="s">
        <v>180</v>
      </c>
    </row>
    <row r="2" spans="1:5" ht="42" x14ac:dyDescent="0.3">
      <c r="A2" s="11" t="s">
        <v>181</v>
      </c>
      <c r="B2" s="11" t="s">
        <v>182</v>
      </c>
      <c r="C2" s="11" t="s">
        <v>183</v>
      </c>
      <c r="D2" s="11" t="s">
        <v>184</v>
      </c>
      <c r="E2" s="11" t="s">
        <v>185</v>
      </c>
    </row>
    <row r="3" spans="1:5" ht="28" x14ac:dyDescent="0.3">
      <c r="A3" s="11" t="s">
        <v>186</v>
      </c>
      <c r="B3" s="11" t="s">
        <v>187</v>
      </c>
      <c r="C3" s="11" t="s">
        <v>188</v>
      </c>
      <c r="D3" s="11" t="s">
        <v>189</v>
      </c>
      <c r="E3" s="11" t="s">
        <v>190</v>
      </c>
    </row>
    <row r="4" spans="1:5" ht="56" x14ac:dyDescent="0.3">
      <c r="A4" s="11" t="s">
        <v>191</v>
      </c>
      <c r="B4" s="11" t="s">
        <v>192</v>
      </c>
      <c r="C4" s="11" t="s">
        <v>193</v>
      </c>
      <c r="D4" s="11" t="s">
        <v>175</v>
      </c>
      <c r="E4" s="11" t="s">
        <v>214</v>
      </c>
    </row>
    <row r="5" spans="1:5" ht="42" x14ac:dyDescent="0.3">
      <c r="A5" s="11" t="s">
        <v>194</v>
      </c>
      <c r="B5" s="11" t="s">
        <v>195</v>
      </c>
      <c r="C5" s="11" t="s">
        <v>196</v>
      </c>
      <c r="D5" s="11" t="s">
        <v>197</v>
      </c>
      <c r="E5" s="11" t="s">
        <v>198</v>
      </c>
    </row>
    <row r="6" spans="1:5" ht="28" x14ac:dyDescent="0.3">
      <c r="A6" s="11" t="s">
        <v>199</v>
      </c>
      <c r="B6" s="11" t="s">
        <v>200</v>
      </c>
      <c r="C6" s="11" t="s">
        <v>201</v>
      </c>
      <c r="D6" s="11" t="s">
        <v>202</v>
      </c>
      <c r="E6" s="11" t="s">
        <v>215</v>
      </c>
    </row>
    <row r="7" spans="1:5" ht="28" x14ac:dyDescent="0.3">
      <c r="A7" s="11" t="s">
        <v>203</v>
      </c>
      <c r="B7" s="11" t="s">
        <v>204</v>
      </c>
      <c r="C7" s="11" t="s">
        <v>205</v>
      </c>
      <c r="D7" s="11" t="s">
        <v>206</v>
      </c>
      <c r="E7" s="11" t="s">
        <v>207</v>
      </c>
    </row>
    <row r="8" spans="1:5" ht="56" x14ac:dyDescent="0.3">
      <c r="A8" s="11" t="s">
        <v>208</v>
      </c>
      <c r="B8" s="11" t="s">
        <v>209</v>
      </c>
      <c r="C8" s="11" t="s">
        <v>210</v>
      </c>
      <c r="D8" s="11" t="s">
        <v>211</v>
      </c>
      <c r="E8" s="11" t="s">
        <v>212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165F0CB8236D44891BE0F780D121BC" ma:contentTypeVersion="3" ma:contentTypeDescription="Create a new document." ma:contentTypeScope="" ma:versionID="45ddf04c5d7cd9114da16102d7cb2ca8">
  <xsd:schema xmlns:xsd="http://www.w3.org/2001/XMLSchema" xmlns:xs="http://www.w3.org/2001/XMLSchema" xmlns:p="http://schemas.microsoft.com/office/2006/metadata/properties" xmlns:ns2="e4a52b48-1cee-4413-bc56-0127b0a42ba3" targetNamespace="http://schemas.microsoft.com/office/2006/metadata/properties" ma:root="true" ma:fieldsID="6bc63c3fe54722f24b1c80ad54bfa8ca" ns2:_="">
    <xsd:import namespace="e4a52b48-1cee-4413-bc56-0127b0a42b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a52b48-1cee-4413-bc56-0127b0a42b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40A6CB-7C23-41EE-A4EB-ED2C379BA440}"/>
</file>

<file path=customXml/itemProps2.xml><?xml version="1.0" encoding="utf-8"?>
<ds:datastoreItem xmlns:ds="http://schemas.openxmlformats.org/officeDocument/2006/customXml" ds:itemID="{211DEDF8-3042-4416-8E35-8F893D2597B1}"/>
</file>

<file path=customXml/itemProps3.xml><?xml version="1.0" encoding="utf-8"?>
<ds:datastoreItem xmlns:ds="http://schemas.openxmlformats.org/officeDocument/2006/customXml" ds:itemID="{8F1EA254-DEC5-4BFB-BF1B-F50CBBDDE3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Pathogen Ranking</vt:lpstr>
      <vt:lpstr>Evidence Basis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Andrew Singer</dc:creator>
  <cp:lastModifiedBy>Fothergill, Danni</cp:lastModifiedBy>
  <dcterms:created xsi:type="dcterms:W3CDTF">2026-05-15T12:12:47Z</dcterms:created>
  <dcterms:modified xsi:type="dcterms:W3CDTF">2026-05-21T08:32:54Z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0x01010000165F0CB8236D44891BE0F780D121BC</vt:lpwstr>
  </property>
  <property fmtid="{D5CDD505-2E9C-101B-9397-08002B2CF9AE}" pid="3" name="Order">
    <vt:r8>374400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